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E:\github\canteen\canteen-react\public\"/>
    </mc:Choice>
  </mc:AlternateContent>
  <xr:revisionPtr revIDLastSave="0" documentId="13_ncr:1_{F6E6D552-6A75-4466-ADF6-5C4D00C17484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daily" sheetId="5" r:id="rId1"/>
    <sheet name="so1" sheetId="1" r:id="rId2"/>
    <sheet name="so2" sheetId="2" r:id="rId3"/>
    <sheet name="net_income" sheetId="3" r:id="rId4"/>
    <sheet name="financial" sheetId="4" r:id="rId5"/>
  </sheets>
  <externalReferences>
    <externalReference r:id="rId6"/>
    <externalReference r:id="rId7"/>
    <externalReference r:id="rId8"/>
    <externalReference r:id="rId9"/>
  </externalReferences>
  <definedNames>
    <definedName name="_xlnm.Print_Area" localSheetId="0">daily!$A$2:$N$30</definedName>
    <definedName name="_xlnm.Print_Area" localSheetId="4">financial!$A$1:$E$51</definedName>
    <definedName name="_xlnm.Print_Area" localSheetId="3">net_income!$A$1:$E$43</definedName>
    <definedName name="_xlnm.Print_Area" localSheetId="1">'so1'!$A$1:$E$62</definedName>
    <definedName name="_xlnm.Print_Area" localSheetId="2">'so2'!$A$1:$E$50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uri="GoogleSheetsCustomDataVersion2">
      <go:sheetsCustomData xmlns:go="http://customooxmlschemas.google.com/" r:id="rId10" roundtripDataChecksum="t3nkhZaI6vvkmuYhLZwL18EJzq8WxB1pCN0pBG6X6Xo="/>
    </ext>
  </extLst>
</workbook>
</file>

<file path=xl/calcChain.xml><?xml version="1.0" encoding="utf-8"?>
<calcChain xmlns="http://schemas.openxmlformats.org/spreadsheetml/2006/main">
  <c r="D49" i="1" l="1"/>
  <c r="D48" i="1"/>
  <c r="D45" i="1"/>
  <c r="D39" i="1"/>
  <c r="D35" i="1"/>
  <c r="D33" i="1"/>
  <c r="D32" i="1"/>
  <c r="D30" i="1"/>
  <c r="D28" i="1"/>
  <c r="D17" i="1"/>
  <c r="D11" i="1"/>
  <c r="K11" i="5"/>
  <c r="E27" i="4"/>
  <c r="E17" i="3"/>
  <c r="E16" i="3"/>
  <c r="E15" i="3"/>
  <c r="E14" i="3"/>
  <c r="E13" i="3"/>
  <c r="E12" i="3"/>
  <c r="E22" i="1"/>
  <c r="K14" i="5"/>
  <c r="E19" i="3" l="1"/>
  <c r="K13" i="5"/>
  <c r="K12" i="5" l="1"/>
  <c r="M19" i="5" l="1"/>
  <c r="L12" i="5"/>
  <c r="N12" i="5" s="1"/>
  <c r="L13" i="5"/>
  <c r="N13" i="5" s="1"/>
  <c r="L14" i="5"/>
  <c r="N14" i="5" s="1"/>
  <c r="L15" i="5"/>
  <c r="N15" i="5" s="1"/>
  <c r="L16" i="5"/>
  <c r="N16" i="5" s="1"/>
  <c r="L17" i="5"/>
  <c r="N17" i="5" s="1"/>
  <c r="L18" i="5"/>
  <c r="N18" i="5" s="1"/>
  <c r="L11" i="5"/>
  <c r="N11" i="5" s="1"/>
  <c r="D19" i="5"/>
  <c r="E19" i="5"/>
  <c r="F19" i="5"/>
  <c r="G19" i="5"/>
  <c r="H19" i="5"/>
  <c r="I19" i="5"/>
  <c r="J19" i="5"/>
  <c r="K19" i="5"/>
  <c r="C19" i="5"/>
  <c r="B19" i="5"/>
  <c r="N19" i="5" l="1"/>
  <c r="D51" i="1"/>
  <c r="D32" i="2" s="1"/>
  <c r="L19" i="5"/>
  <c r="E28" i="4"/>
  <c r="E23" i="4"/>
  <c r="D23" i="4"/>
  <c r="E16" i="4"/>
  <c r="E31" i="2"/>
  <c r="D31" i="2"/>
  <c r="E51" i="1"/>
  <c r="E32" i="2" s="1"/>
  <c r="E15" i="1"/>
  <c r="E24" i="1" s="1"/>
  <c r="D15" i="1"/>
  <c r="D22" i="1" s="1"/>
  <c r="D24" i="1" s="1"/>
  <c r="E29" i="4" l="1"/>
  <c r="D33" i="2"/>
  <c r="D16" i="3" s="1"/>
  <c r="E33" i="2"/>
  <c r="D17" i="3" l="1"/>
  <c r="D12" i="3"/>
  <c r="D27" i="4"/>
  <c r="D28" i="4" s="1"/>
  <c r="D29" i="4" s="1"/>
  <c r="D13" i="3"/>
  <c r="D14" i="3"/>
  <c r="D15" i="3"/>
  <c r="D19" i="3" l="1"/>
  <c r="D10" i="4" s="1"/>
  <c r="D16" i="4" s="1"/>
</calcChain>
</file>

<file path=xl/sharedStrings.xml><?xml version="1.0" encoding="utf-8"?>
<sst xmlns="http://schemas.openxmlformats.org/spreadsheetml/2006/main" count="194" uniqueCount="110">
  <si>
    <t>RECTO MEMORIAL NATIONAL HIGH SCHOOL</t>
  </si>
  <si>
    <t>Brgy. Quipot, Tiaong, Quezon</t>
  </si>
  <si>
    <t>STATEMENT OF OPERATIONS</t>
  </si>
  <si>
    <t>For the Period of NOVEMBER 2025</t>
  </si>
  <si>
    <t>(ALL CANTEEN)</t>
  </si>
  <si>
    <t>DAILY TRNASACTION</t>
  </si>
  <si>
    <t>CANTEEN</t>
  </si>
  <si>
    <t>WAGES</t>
  </si>
  <si>
    <t>SSS</t>
  </si>
  <si>
    <t>Office Supplies</t>
  </si>
  <si>
    <t>Store Supplies</t>
  </si>
  <si>
    <t>Storage Expenses</t>
  </si>
  <si>
    <t>Delivery Charge</t>
  </si>
  <si>
    <t>Repair</t>
  </si>
  <si>
    <t>Water</t>
  </si>
  <si>
    <t>PURCHASES</t>
  </si>
  <si>
    <t>Spoilage</t>
  </si>
  <si>
    <t>TOTAL Expenses</t>
  </si>
  <si>
    <t>GROSS SALES</t>
  </si>
  <si>
    <t>NET SALES</t>
  </si>
  <si>
    <t>Canteen#1</t>
  </si>
  <si>
    <t>Canteen#2</t>
  </si>
  <si>
    <t>Canteen#3</t>
  </si>
  <si>
    <t>Canteen#4</t>
  </si>
  <si>
    <t>Prepared by:</t>
  </si>
  <si>
    <t>JASMIN M. DIMAUNAHAN</t>
  </si>
  <si>
    <t>SSHT I - TLE DEPARTMENT</t>
  </si>
  <si>
    <t>Audited by:</t>
  </si>
  <si>
    <t>RICKY B. ENRIQUEZ</t>
  </si>
  <si>
    <t>ODESSA B. MANGUIAT</t>
  </si>
  <si>
    <t>FSA PRESIDENT</t>
  </si>
  <si>
    <t>SSHT VI - MATH DEPARTMENT</t>
  </si>
  <si>
    <t>MEMBER</t>
  </si>
  <si>
    <t>CHAIRMAN</t>
  </si>
  <si>
    <t>Current Year</t>
  </si>
  <si>
    <t>Previous Year</t>
  </si>
  <si>
    <t>REVENUES</t>
  </si>
  <si>
    <t>Net Sales</t>
  </si>
  <si>
    <t>Sales (Gross)</t>
  </si>
  <si>
    <t>Sales Returns and Allowances</t>
  </si>
  <si>
    <t>Sales Discounts</t>
  </si>
  <si>
    <t>Cost of Sales</t>
  </si>
  <si>
    <t>Purchases</t>
  </si>
  <si>
    <t>Purchase Returns and Allowances</t>
  </si>
  <si>
    <t>Purchase Discounts</t>
  </si>
  <si>
    <t>Freight In</t>
  </si>
  <si>
    <t>Inventory</t>
  </si>
  <si>
    <t>GROSS PROFIT</t>
  </si>
  <si>
    <t>Add: Other Operating Income</t>
  </si>
  <si>
    <t>GROSS INCOME FROM OPERATIONS</t>
  </si>
  <si>
    <t>EXPENSES</t>
  </si>
  <si>
    <t>SELLING COSTS</t>
  </si>
  <si>
    <t>Salaries and Wages</t>
  </si>
  <si>
    <t>Employees' Benefits</t>
  </si>
  <si>
    <t>SSS/ECC/Philhealth/Pag-ibig Contributions</t>
  </si>
  <si>
    <t>Officers' Honorarium and Allowances</t>
  </si>
  <si>
    <t>Storage/Warehousing Expense</t>
  </si>
  <si>
    <t>Power, Light and Water</t>
  </si>
  <si>
    <t>Travel and Transportation</t>
  </si>
  <si>
    <t>Insurance</t>
  </si>
  <si>
    <t>Royalties</t>
  </si>
  <si>
    <t>Repairs and Maintenance</t>
  </si>
  <si>
    <t>Rental</t>
  </si>
  <si>
    <t>Taxes and Licenses</t>
  </si>
  <si>
    <t>Communication Expense</t>
  </si>
  <si>
    <t>Representation Expense</t>
  </si>
  <si>
    <t>Advertising and Promotion</t>
  </si>
  <si>
    <t>Spoilage and Breakage</t>
  </si>
  <si>
    <t>Privision for Probable Losses and Accounts Receivables</t>
  </si>
  <si>
    <t>Commission Expense</t>
  </si>
  <si>
    <t>delivery Expense</t>
  </si>
  <si>
    <t>Gas, Oil and Lubricants</t>
  </si>
  <si>
    <t>Depreciation and Amortization</t>
  </si>
  <si>
    <t>Total Selling Costs</t>
  </si>
  <si>
    <t>ADMINISTRATIVE COSTS</t>
  </si>
  <si>
    <t>Professional Fees</t>
  </si>
  <si>
    <t>Representation Expensse</t>
  </si>
  <si>
    <t>Periodicals, Magazines and Subcription</t>
  </si>
  <si>
    <t>Miscellaneous Expense</t>
  </si>
  <si>
    <t>Total Administrative Costs</t>
  </si>
  <si>
    <t>TOTAL EXPENSES</t>
  </si>
  <si>
    <t>NET INCOME DERIVED FROM OPERATIONS</t>
  </si>
  <si>
    <t>UTILIZATION OF NET INCOME</t>
  </si>
  <si>
    <t>Suplementary Feeding Program for Undernourished</t>
  </si>
  <si>
    <t xml:space="preserve">   Pupils/Students</t>
  </si>
  <si>
    <t>School Clinic Fund</t>
  </si>
  <si>
    <t>Faculty and Student Development Fund</t>
  </si>
  <si>
    <t>H.E. Instructional Fund</t>
  </si>
  <si>
    <t>Schools Operations Fund</t>
  </si>
  <si>
    <t>Revolving Capital</t>
  </si>
  <si>
    <t>TOTAL UTILIZATION OF NET INCOME</t>
  </si>
  <si>
    <t>STATEMENT OF FINANCIAL CONDITION</t>
  </si>
  <si>
    <t>ASSETS</t>
  </si>
  <si>
    <t>Cash and cash equivalents</t>
  </si>
  <si>
    <t>Account Receivables</t>
  </si>
  <si>
    <t>Investments</t>
  </si>
  <si>
    <t>Property, plant and equipment at cost</t>
  </si>
  <si>
    <t>Less: Accumulated depreciation</t>
  </si>
  <si>
    <t>TOTAL ASSETS</t>
  </si>
  <si>
    <t>LIABILITIES</t>
  </si>
  <si>
    <t>Trade Payable</t>
  </si>
  <si>
    <t>Interest Payable</t>
  </si>
  <si>
    <t>Income Taxes Payable</t>
  </si>
  <si>
    <t>Other Payables</t>
  </si>
  <si>
    <t>TOTAL LIABILITIES</t>
  </si>
  <si>
    <t>EQUITY</t>
  </si>
  <si>
    <t>School Revolving Capital</t>
  </si>
  <si>
    <t>Add: Net Income Derived from Operation of Canteen</t>
  </si>
  <si>
    <t>TOTAL EQUITY</t>
  </si>
  <si>
    <t>TOTAL LIABILITIES AND EQUITY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</si>
</sst>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7" formatCode="&quot;₱&quot;#,##0.00;\-&quot;₱&quot;#,##0.00"/>
    <numFmt numFmtId="164" formatCode="_-* #,##0.00_-;\-* #,##0.00_-;_-* &quot;-&quot;??_-;_-@"/>
    <numFmt numFmtId="165" formatCode="d/m/yyyy"/>
    <numFmt numFmtId="166" formatCode="&quot;₱&quot;#,##0.00"/>
    <numFmt numFmtId="167" formatCode="&quot;₱&quot;#,##0.00;[Red]&quot;₱&quot;#,##0.00"/>
  </numFmts>
  <fonts count="23">
    <font>
      <sz val="11"/>
      <color theme="1"/>
      <name val="Calibri"/>
      <scheme val="minor"/>
    </font>
    <font>
      <b/>
      <sz val="16"/>
      <color theme="1"/>
      <name val="Times New Roman"/>
    </font>
    <font>
      <sz val="11"/>
      <color theme="1"/>
      <name val="Times New Roman"/>
    </font>
    <font>
      <b/>
      <sz val="14"/>
      <color theme="1"/>
      <name val="Times New Roman"/>
    </font>
    <font>
      <sz val="11"/>
      <name val="Calibri"/>
    </font>
    <font>
      <b/>
      <sz val="11"/>
      <color theme="1"/>
      <name val="Times New Roman"/>
    </font>
    <font>
      <sz val="11"/>
      <color theme="1"/>
      <name val="Calibri"/>
    </font>
    <font>
      <sz val="10"/>
      <color theme="1"/>
      <name val="Times New Roman"/>
      <family val="1"/>
    </font>
    <font>
      <b/>
      <sz val="10"/>
      <color theme="1"/>
      <name val="Times New Roman"/>
      <family val="1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0"/>
      <name val="Arial"/>
      <family val="2"/>
    </font>
    <font>
      <b/>
      <sz val="11"/>
      <color rgb="FFFF0000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rgb="FFFF0000"/>
      <name val="Calibri"/>
      <family val="2"/>
    </font>
    <font>
      <sz val="10"/>
      <color theme="1"/>
      <name val="Arial"/>
      <family val="2"/>
    </font>
    <font>
      <sz val="10"/>
      <color rgb="FFFF0000"/>
      <name val="Arial"/>
      <family val="2"/>
    </font>
    <font>
      <sz val="11"/>
      <name val="Calibri"/>
      <family val="2"/>
      <scheme val="minor"/>
    </font>
    <font>
      <b/>
      <sz val="11"/>
      <name val="Calibri"/>
      <family val="2"/>
    </font>
    <font>
      <b/>
      <sz val="14"/>
      <color theme="1"/>
      <name val="Times New Roman"/>
      <family val="1"/>
    </font>
  </fonts>
  <fills count="2">
    <fill>
      <patternFill patternType="none"/>
    </fill>
    <fill>
      <patternFill patternType="gray125"/>
    </fill>
  </fills>
  <borders count="52">
    <border>
      <left/>
      <right/>
      <top/>
      <bottom/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double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rgb="FF000000"/>
      </bottom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/>
      <right style="medium">
        <color rgb="FF000000"/>
      </right>
      <top style="medium">
        <color indexed="64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indexed="64"/>
      </top>
      <bottom style="medium">
        <color rgb="FF000000"/>
      </bottom>
      <diagonal/>
    </border>
    <border>
      <left style="medium">
        <color rgb="FF000000"/>
      </left>
      <right style="medium">
        <color indexed="64"/>
      </right>
      <top style="medium">
        <color indexed="64"/>
      </top>
      <bottom style="medium">
        <color rgb="FF000000"/>
      </bottom>
      <diagonal/>
    </border>
    <border>
      <left style="medium">
        <color indexed="64"/>
      </left>
      <right/>
      <top style="medium">
        <color rgb="FF000000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 style="thin">
        <color rgb="FF000000"/>
      </bottom>
      <diagonal/>
    </border>
    <border>
      <left style="medium">
        <color rgb="FF000000"/>
      </left>
      <right style="medium">
        <color indexed="64"/>
      </right>
      <top/>
      <bottom/>
      <diagonal/>
    </border>
    <border>
      <left style="medium">
        <color indexed="64"/>
      </left>
      <right/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indexed="64"/>
      </right>
      <top style="thin">
        <color rgb="FF000000"/>
      </top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rgb="FF000000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rgb="FF000000"/>
      </left>
      <right style="medium">
        <color indexed="64"/>
      </right>
      <top style="medium">
        <color rgb="FF000000"/>
      </top>
      <bottom/>
      <diagonal/>
    </border>
    <border>
      <left style="medium">
        <color indexed="64"/>
      </left>
      <right/>
      <top/>
      <bottom style="medium">
        <color rgb="FF000000"/>
      </bottom>
      <diagonal/>
    </border>
    <border>
      <left style="medium">
        <color rgb="FF000000"/>
      </left>
      <right style="medium">
        <color indexed="64"/>
      </right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indexed="64"/>
      </bottom>
      <diagonal/>
    </border>
    <border>
      <left style="medium">
        <color rgb="FF000000"/>
      </left>
      <right style="medium">
        <color indexed="64"/>
      </right>
      <top style="medium">
        <color rgb="FF000000"/>
      </top>
      <bottom style="medium">
        <color indexed="64"/>
      </bottom>
      <diagonal/>
    </border>
  </borders>
  <cellStyleXfs count="1">
    <xf numFmtId="0" fontId="0" fillId="0" borderId="0"/>
  </cellStyleXfs>
  <cellXfs count="144">
    <xf numFmtId="0" fontId="0" fillId="0" borderId="0" xfId="0" applyFont="1" applyAlignment="1"/>
    <xf numFmtId="0" fontId="2" fillId="0" borderId="0" xfId="0" applyFont="1"/>
    <xf numFmtId="0" fontId="5" fillId="0" borderId="5" xfId="0" applyFont="1" applyBorder="1" applyAlignment="1">
      <alignment horizontal="center"/>
    </xf>
    <xf numFmtId="164" fontId="2" fillId="0" borderId="9" xfId="0" applyNumberFormat="1" applyFont="1" applyBorder="1"/>
    <xf numFmtId="164" fontId="2" fillId="0" borderId="10" xfId="0" applyNumberFormat="1" applyFont="1" applyBorder="1"/>
    <xf numFmtId="0" fontId="5" fillId="0" borderId="11" xfId="0" applyFont="1" applyBorder="1"/>
    <xf numFmtId="0" fontId="5" fillId="0" borderId="0" xfId="0" applyFont="1"/>
    <xf numFmtId="0" fontId="2" fillId="0" borderId="10" xfId="0" applyFont="1" applyBorder="1"/>
    <xf numFmtId="164" fontId="2" fillId="0" borderId="12" xfId="0" applyNumberFormat="1" applyFont="1" applyBorder="1"/>
    <xf numFmtId="165" fontId="2" fillId="0" borderId="0" xfId="0" applyNumberFormat="1" applyFont="1"/>
    <xf numFmtId="164" fontId="2" fillId="0" borderId="13" xfId="0" applyNumberFormat="1" applyFont="1" applyBorder="1"/>
    <xf numFmtId="164" fontId="2" fillId="0" borderId="14" xfId="0" applyNumberFormat="1" applyFont="1" applyBorder="1"/>
    <xf numFmtId="164" fontId="2" fillId="0" borderId="0" xfId="0" applyNumberFormat="1" applyFont="1"/>
    <xf numFmtId="0" fontId="5" fillId="0" borderId="15" xfId="0" applyFont="1" applyBorder="1"/>
    <xf numFmtId="0" fontId="2" fillId="0" borderId="16" xfId="0" applyFont="1" applyBorder="1"/>
    <xf numFmtId="0" fontId="2" fillId="0" borderId="18" xfId="0" applyFont="1" applyBorder="1"/>
    <xf numFmtId="0" fontId="2" fillId="0" borderId="14" xfId="0" applyFont="1" applyBorder="1"/>
    <xf numFmtId="0" fontId="5" fillId="0" borderId="19" xfId="0" applyFont="1" applyBorder="1"/>
    <xf numFmtId="0" fontId="5" fillId="0" borderId="10" xfId="0" applyFont="1" applyBorder="1"/>
    <xf numFmtId="164" fontId="5" fillId="0" borderId="5" xfId="0" applyNumberFormat="1" applyFont="1" applyBorder="1"/>
    <xf numFmtId="0" fontId="5" fillId="0" borderId="20" xfId="0" applyFont="1" applyBorder="1"/>
    <xf numFmtId="0" fontId="2" fillId="0" borderId="5" xfId="0" applyFont="1" applyBorder="1"/>
    <xf numFmtId="0" fontId="2" fillId="0" borderId="11" xfId="0" applyFont="1" applyBorder="1" applyAlignment="1">
      <alignment horizontal="center"/>
    </xf>
    <xf numFmtId="0" fontId="5" fillId="0" borderId="0" xfId="0" applyFont="1" applyAlignment="1">
      <alignment horizontal="center"/>
    </xf>
    <xf numFmtId="0" fontId="2" fillId="0" borderId="10" xfId="0" applyFont="1" applyBorder="1" applyAlignment="1">
      <alignment horizontal="center"/>
    </xf>
    <xf numFmtId="9" fontId="2" fillId="0" borderId="10" xfId="0" applyNumberFormat="1" applyFont="1" applyBorder="1" applyAlignment="1">
      <alignment horizontal="center"/>
    </xf>
    <xf numFmtId="0" fontId="5" fillId="0" borderId="22" xfId="0" applyFont="1" applyBorder="1"/>
    <xf numFmtId="0" fontId="5" fillId="0" borderId="1" xfId="0" applyFont="1" applyBorder="1"/>
    <xf numFmtId="9" fontId="2" fillId="0" borderId="16" xfId="0" applyNumberFormat="1" applyFont="1" applyBorder="1" applyAlignment="1">
      <alignment horizontal="center"/>
    </xf>
    <xf numFmtId="164" fontId="5" fillId="0" borderId="23" xfId="0" applyNumberFormat="1" applyFont="1" applyBorder="1"/>
    <xf numFmtId="164" fontId="5" fillId="0" borderId="24" xfId="0" applyNumberFormat="1" applyFont="1" applyBorder="1"/>
    <xf numFmtId="164" fontId="2" fillId="0" borderId="12" xfId="0" applyNumberFormat="1" applyFont="1" applyBorder="1" applyAlignment="1"/>
    <xf numFmtId="40" fontId="2" fillId="0" borderId="12" xfId="0" applyNumberFormat="1" applyFont="1" applyBorder="1"/>
    <xf numFmtId="0" fontId="5" fillId="0" borderId="2" xfId="0" applyFont="1" applyBorder="1"/>
    <xf numFmtId="0" fontId="2" fillId="0" borderId="3" xfId="0" applyFont="1" applyBorder="1"/>
    <xf numFmtId="0" fontId="2" fillId="0" borderId="4" xfId="0" applyFont="1" applyBorder="1"/>
    <xf numFmtId="164" fontId="5" fillId="0" borderId="13" xfId="0" applyNumberFormat="1" applyFont="1" applyBorder="1"/>
    <xf numFmtId="164" fontId="5" fillId="0" borderId="14" xfId="0" applyNumberFormat="1" applyFont="1" applyBorder="1"/>
    <xf numFmtId="164" fontId="2" fillId="0" borderId="8" xfId="0" applyNumberFormat="1" applyFont="1" applyBorder="1"/>
    <xf numFmtId="0" fontId="7" fillId="0" borderId="0" xfId="0" applyFont="1"/>
    <xf numFmtId="0" fontId="7" fillId="0" borderId="0" xfId="0" applyFont="1" applyAlignment="1">
      <alignment horizontal="right"/>
    </xf>
    <xf numFmtId="0" fontId="8" fillId="0" borderId="0" xfId="0" applyFont="1"/>
    <xf numFmtId="0" fontId="8" fillId="0" borderId="0" xfId="0" applyFont="1" applyAlignment="1">
      <alignment horizontal="left"/>
    </xf>
    <xf numFmtId="0" fontId="7" fillId="0" borderId="0" xfId="0" applyFont="1" applyAlignment="1">
      <alignment horizontal="left"/>
    </xf>
    <xf numFmtId="0" fontId="9" fillId="0" borderId="0" xfId="0" applyFont="1"/>
    <xf numFmtId="0" fontId="10" fillId="0" borderId="0" xfId="0" applyFont="1"/>
    <xf numFmtId="0" fontId="0" fillId="0" borderId="0" xfId="0" applyFont="1" applyAlignment="1"/>
    <xf numFmtId="0" fontId="2" fillId="0" borderId="0" xfId="0" applyFont="1" applyBorder="1"/>
    <xf numFmtId="0" fontId="5" fillId="0" borderId="0" xfId="0" applyFont="1" applyBorder="1"/>
    <xf numFmtId="164" fontId="2" fillId="0" borderId="0" xfId="0" applyNumberFormat="1" applyFont="1" applyBorder="1"/>
    <xf numFmtId="0" fontId="9" fillId="0" borderId="0" xfId="0" applyFont="1" applyAlignment="1">
      <alignment horizontal="center" vertical="center"/>
    </xf>
    <xf numFmtId="0" fontId="10" fillId="0" borderId="25" xfId="0" applyFont="1" applyBorder="1" applyAlignment="1">
      <alignment horizontal="center" vertical="center" wrapText="1"/>
    </xf>
    <xf numFmtId="0" fontId="13" fillId="0" borderId="25" xfId="0" applyFont="1" applyBorder="1" applyAlignment="1">
      <alignment horizontal="center" vertical="center" wrapText="1"/>
    </xf>
    <xf numFmtId="0" fontId="12" fillId="0" borderId="0" xfId="0" applyFont="1" applyAlignment="1">
      <alignment horizontal="center" vertical="center" wrapText="1"/>
    </xf>
    <xf numFmtId="0" fontId="9" fillId="0" borderId="10" xfId="0" applyFont="1" applyBorder="1"/>
    <xf numFmtId="14" fontId="14" fillId="0" borderId="26" xfId="0" applyNumberFormat="1" applyFont="1" applyBorder="1" applyAlignment="1">
      <alignment horizontal="center" vertical="center" wrapText="1"/>
    </xf>
    <xf numFmtId="14" fontId="14" fillId="0" borderId="27" xfId="0" applyNumberFormat="1" applyFont="1" applyBorder="1" applyAlignment="1">
      <alignment horizontal="center" vertical="center" wrapText="1"/>
    </xf>
    <xf numFmtId="0" fontId="0" fillId="0" borderId="27" xfId="0" applyFont="1" applyBorder="1" applyAlignment="1"/>
    <xf numFmtId="0" fontId="15" fillId="0" borderId="27" xfId="0" applyFont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3" fillId="0" borderId="29" xfId="0" applyFont="1" applyBorder="1" applyAlignment="1">
      <alignment horizontal="center" vertical="center" wrapText="1"/>
    </xf>
    <xf numFmtId="0" fontId="16" fillId="0" borderId="27" xfId="0" applyFont="1" applyBorder="1" applyAlignment="1">
      <alignment horizontal="center" vertical="center" wrapText="1"/>
    </xf>
    <xf numFmtId="166" fontId="6" fillId="0" borderId="29" xfId="0" applyNumberFormat="1" applyFont="1" applyBorder="1" applyAlignment="1">
      <alignment horizontal="center" vertical="center"/>
    </xf>
    <xf numFmtId="166" fontId="11" fillId="0" borderId="27" xfId="0" applyNumberFormat="1" applyFont="1" applyBorder="1" applyAlignment="1"/>
    <xf numFmtId="166" fontId="11" fillId="0" borderId="27" xfId="0" applyNumberFormat="1" applyFont="1" applyBorder="1" applyAlignment="1">
      <alignment horizontal="center" vertical="center"/>
    </xf>
    <xf numFmtId="166" fontId="0" fillId="0" borderId="27" xfId="0" applyNumberFormat="1" applyFont="1" applyBorder="1" applyAlignment="1"/>
    <xf numFmtId="166" fontId="0" fillId="0" borderId="28" xfId="0" applyNumberFormat="1" applyFont="1" applyBorder="1" applyAlignment="1"/>
    <xf numFmtId="166" fontId="15" fillId="0" borderId="27" xfId="0" applyNumberFormat="1" applyFont="1" applyBorder="1" applyAlignment="1">
      <alignment horizontal="center" vertical="center"/>
    </xf>
    <xf numFmtId="166" fontId="15" fillId="0" borderId="28" xfId="0" applyNumberFormat="1" applyFont="1" applyBorder="1" applyAlignment="1">
      <alignment horizontal="center" vertical="center"/>
    </xf>
    <xf numFmtId="7" fontId="2" fillId="0" borderId="12" xfId="0" applyNumberFormat="1" applyFont="1" applyBorder="1" applyAlignment="1">
      <alignment horizontal="center" vertical="center"/>
    </xf>
    <xf numFmtId="7" fontId="2" fillId="0" borderId="13" xfId="0" applyNumberFormat="1" applyFont="1" applyBorder="1" applyAlignment="1">
      <alignment horizontal="center" vertical="center"/>
    </xf>
    <xf numFmtId="7" fontId="5" fillId="0" borderId="12" xfId="0" applyNumberFormat="1" applyFont="1" applyBorder="1" applyAlignment="1">
      <alignment horizontal="center" vertical="center"/>
    </xf>
    <xf numFmtId="7" fontId="5" fillId="0" borderId="17" xfId="0" applyNumberFormat="1" applyFont="1" applyBorder="1" applyAlignment="1">
      <alignment horizontal="center" vertical="center"/>
    </xf>
    <xf numFmtId="166" fontId="0" fillId="0" borderId="0" xfId="0" applyNumberFormat="1" applyFont="1" applyAlignment="1"/>
    <xf numFmtId="166" fontId="17" fillId="0" borderId="29" xfId="0" applyNumberFormat="1" applyFont="1" applyBorder="1" applyAlignment="1">
      <alignment horizontal="center" vertical="center"/>
    </xf>
    <xf numFmtId="166" fontId="18" fillId="0" borderId="25" xfId="0" applyNumberFormat="1" applyFont="1" applyBorder="1"/>
    <xf numFmtId="166" fontId="18" fillId="0" borderId="29" xfId="0" applyNumberFormat="1" applyFont="1" applyBorder="1" applyAlignment="1">
      <alignment horizontal="center" vertical="center"/>
    </xf>
    <xf numFmtId="166" fontId="19" fillId="0" borderId="27" xfId="0" applyNumberFormat="1" applyFont="1" applyBorder="1" applyAlignment="1"/>
    <xf numFmtId="166" fontId="19" fillId="0" borderId="27" xfId="0" applyNumberFormat="1" applyFont="1" applyBorder="1" applyAlignment="1">
      <alignment horizontal="center" vertical="center"/>
    </xf>
    <xf numFmtId="0" fontId="18" fillId="0" borderId="0" xfId="0" applyFont="1" applyAlignment="1"/>
    <xf numFmtId="0" fontId="20" fillId="0" borderId="0" xfId="0" applyFont="1" applyAlignment="1">
      <alignment horizontal="right" vertical="center"/>
    </xf>
    <xf numFmtId="166" fontId="18" fillId="0" borderId="0" xfId="0" applyNumberFormat="1" applyFont="1" applyAlignment="1"/>
    <xf numFmtId="166" fontId="20" fillId="0" borderId="0" xfId="0" applyNumberFormat="1" applyFont="1" applyAlignment="1">
      <alignment horizontal="right" vertical="center"/>
    </xf>
    <xf numFmtId="166" fontId="11" fillId="0" borderId="0" xfId="0" applyNumberFormat="1" applyFont="1" applyAlignment="1"/>
    <xf numFmtId="0" fontId="0" fillId="0" borderId="0" xfId="0" applyFont="1" applyAlignment="1"/>
    <xf numFmtId="0" fontId="5" fillId="0" borderId="33" xfId="0" applyFont="1" applyBorder="1" applyAlignment="1">
      <alignment horizontal="center"/>
    </xf>
    <xf numFmtId="0" fontId="5" fillId="0" borderId="34" xfId="0" applyFont="1" applyBorder="1" applyAlignment="1">
      <alignment horizontal="center"/>
    </xf>
    <xf numFmtId="164" fontId="2" fillId="0" borderId="36" xfId="0" applyNumberFormat="1" applyFont="1" applyBorder="1"/>
    <xf numFmtId="0" fontId="5" fillId="0" borderId="37" xfId="0" applyFont="1" applyBorder="1"/>
    <xf numFmtId="7" fontId="2" fillId="0" borderId="36" xfId="0" applyNumberFormat="1" applyFont="1" applyBorder="1" applyAlignment="1">
      <alignment horizontal="center" vertical="center"/>
    </xf>
    <xf numFmtId="7" fontId="2" fillId="0" borderId="38" xfId="0" applyNumberFormat="1" applyFont="1" applyBorder="1" applyAlignment="1">
      <alignment horizontal="center" vertical="center"/>
    </xf>
    <xf numFmtId="7" fontId="5" fillId="0" borderId="39" xfId="0" applyNumberFormat="1" applyFont="1" applyBorder="1" applyAlignment="1">
      <alignment horizontal="center" vertical="center"/>
    </xf>
    <xf numFmtId="7" fontId="5" fillId="0" borderId="36" xfId="0" applyNumberFormat="1" applyFont="1" applyBorder="1" applyAlignment="1">
      <alignment horizontal="center" vertical="center"/>
    </xf>
    <xf numFmtId="7" fontId="2" fillId="0" borderId="39" xfId="0" applyNumberFormat="1" applyFont="1" applyBorder="1" applyAlignment="1">
      <alignment horizontal="center" vertical="center"/>
    </xf>
    <xf numFmtId="0" fontId="5" fillId="0" borderId="40" xfId="0" applyFont="1" applyBorder="1"/>
    <xf numFmtId="7" fontId="5" fillId="0" borderId="41" xfId="0" applyNumberFormat="1" applyFont="1" applyBorder="1" applyAlignment="1">
      <alignment horizontal="center" vertical="center"/>
    </xf>
    <xf numFmtId="0" fontId="2" fillId="0" borderId="37" xfId="0" applyFont="1" applyBorder="1"/>
    <xf numFmtId="0" fontId="2" fillId="0" borderId="42" xfId="0" applyFont="1" applyBorder="1"/>
    <xf numFmtId="0" fontId="5" fillId="0" borderId="43" xfId="0" applyFont="1" applyBorder="1"/>
    <xf numFmtId="0" fontId="2" fillId="0" borderId="44" xfId="0" applyFont="1" applyBorder="1"/>
    <xf numFmtId="7" fontId="10" fillId="0" borderId="43" xfId="0" applyNumberFormat="1" applyFont="1" applyBorder="1" applyAlignment="1">
      <alignment horizontal="center" vertical="center"/>
    </xf>
    <xf numFmtId="7" fontId="10" fillId="0" borderId="45" xfId="0" applyNumberFormat="1" applyFont="1" applyBorder="1" applyAlignment="1">
      <alignment horizontal="center" vertical="center"/>
    </xf>
    <xf numFmtId="0" fontId="5" fillId="0" borderId="4" xfId="0" applyFont="1" applyBorder="1" applyAlignment="1">
      <alignment horizontal="center"/>
    </xf>
    <xf numFmtId="164" fontId="5" fillId="0" borderId="4" xfId="0" applyNumberFormat="1" applyFont="1" applyBorder="1"/>
    <xf numFmtId="164" fontId="2" fillId="0" borderId="4" xfId="0" applyNumberFormat="1" applyFont="1" applyBorder="1"/>
    <xf numFmtId="164" fontId="2" fillId="0" borderId="21" xfId="0" applyNumberFormat="1" applyFont="1" applyBorder="1"/>
    <xf numFmtId="164" fontId="2" fillId="0" borderId="46" xfId="0" applyNumberFormat="1" applyFont="1" applyBorder="1"/>
    <xf numFmtId="164" fontId="2" fillId="0" borderId="39" xfId="0" applyNumberFormat="1" applyFont="1" applyBorder="1"/>
    <xf numFmtId="0" fontId="5" fillId="0" borderId="47" xfId="0" applyFont="1" applyBorder="1"/>
    <xf numFmtId="164" fontId="5" fillId="0" borderId="48" xfId="0" applyNumberFormat="1" applyFont="1" applyBorder="1"/>
    <xf numFmtId="0" fontId="2" fillId="0" borderId="49" xfId="0" applyFont="1" applyBorder="1"/>
    <xf numFmtId="164" fontId="2" fillId="0" borderId="48" xfId="0" applyNumberFormat="1" applyFont="1" applyBorder="1"/>
    <xf numFmtId="0" fontId="5" fillId="0" borderId="42" xfId="0" applyFont="1" applyBorder="1"/>
    <xf numFmtId="0" fontId="2" fillId="0" borderId="43" xfId="0" applyFont="1" applyBorder="1"/>
    <xf numFmtId="0" fontId="2" fillId="0" borderId="50" xfId="0" applyFont="1" applyBorder="1"/>
    <xf numFmtId="164" fontId="2" fillId="0" borderId="51" xfId="0" applyNumberFormat="1" applyFont="1" applyBorder="1"/>
    <xf numFmtId="167" fontId="18" fillId="0" borderId="25" xfId="0" applyNumberFormat="1" applyFont="1" applyBorder="1"/>
    <xf numFmtId="0" fontId="2" fillId="0" borderId="0" xfId="0" applyFont="1" applyAlignment="1">
      <alignment horizontal="center"/>
    </xf>
    <xf numFmtId="0" fontId="0" fillId="0" borderId="0" xfId="0" applyFont="1" applyAlignment="1"/>
    <xf numFmtId="0" fontId="10" fillId="0" borderId="0" xfId="0" applyFont="1" applyBorder="1" applyAlignment="1">
      <alignment horizontal="center" vertical="center"/>
    </xf>
    <xf numFmtId="0" fontId="2" fillId="0" borderId="0" xfId="0" applyFont="1" applyAlignment="1">
      <alignment horizontal="center"/>
    </xf>
    <xf numFmtId="0" fontId="22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10" fillId="0" borderId="0" xfId="0" applyFont="1" applyBorder="1" applyAlignment="1">
      <alignment horizontal="center"/>
    </xf>
    <xf numFmtId="0" fontId="2" fillId="0" borderId="30" xfId="0" applyFont="1" applyBorder="1" applyAlignment="1">
      <alignment horizontal="center"/>
    </xf>
    <xf numFmtId="0" fontId="4" fillId="0" borderId="31" xfId="0" applyFont="1" applyBorder="1" applyAlignment="1"/>
    <xf numFmtId="0" fontId="4" fillId="0" borderId="32" xfId="0" applyFont="1" applyBorder="1" applyAlignment="1"/>
    <xf numFmtId="0" fontId="2" fillId="0" borderId="35" xfId="0" applyFont="1" applyBorder="1" applyAlignment="1">
      <alignment horizontal="center"/>
    </xf>
    <xf numFmtId="0" fontId="4" fillId="0" borderId="7" xfId="0" applyFont="1" applyBorder="1" applyAlignment="1"/>
    <xf numFmtId="0" fontId="4" fillId="0" borderId="8" xfId="0" applyFont="1" applyBorder="1" applyAlignment="1"/>
    <xf numFmtId="0" fontId="1" fillId="0" borderId="0" xfId="0" applyFont="1" applyAlignment="1">
      <alignment horizontal="center"/>
    </xf>
    <xf numFmtId="0" fontId="0" fillId="0" borderId="0" xfId="0" applyFont="1" applyAlignment="1"/>
    <xf numFmtId="0" fontId="21" fillId="0" borderId="0" xfId="0" applyFont="1" applyBorder="1" applyAlignment="1"/>
    <xf numFmtId="0" fontId="2" fillId="0" borderId="0" xfId="0" applyFont="1" applyBorder="1" applyAlignment="1">
      <alignment horizontal="center"/>
    </xf>
    <xf numFmtId="0" fontId="4" fillId="0" borderId="0" xfId="0" applyFont="1" applyBorder="1" applyAlignment="1"/>
    <xf numFmtId="0" fontId="4" fillId="0" borderId="1" xfId="0" applyFont="1" applyBorder="1" applyAlignment="1"/>
    <xf numFmtId="0" fontId="2" fillId="0" borderId="2" xfId="0" applyFont="1" applyBorder="1" applyAlignment="1">
      <alignment horizontal="center"/>
    </xf>
    <xf numFmtId="0" fontId="4" fillId="0" borderId="3" xfId="0" applyFont="1" applyBorder="1" applyAlignment="1"/>
    <xf numFmtId="0" fontId="4" fillId="0" borderId="4" xfId="0" applyFont="1" applyBorder="1" applyAlignment="1"/>
    <xf numFmtId="0" fontId="2" fillId="0" borderId="6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10" fillId="0" borderId="1" xfId="0" applyFont="1" applyBorder="1" applyAlignment="1">
      <alignment horizontal="center"/>
    </xf>
    <xf numFmtId="0" fontId="21" fillId="0" borderId="1" xfId="0" applyFont="1" applyBorder="1" applyAlignme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3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2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customschemas.google.com/relationships/workbookmetadata" Target="metadata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4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Admin\Downloads\canteenReport@2025\C%231-Report@Sept2025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Admin\Downloads\canteenReport@2025\C%232-Report@Sept2025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Admin\Downloads\canteenReport@2025\C%233-Report@Sept2025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Admin\Downloads\canteenReport@2025\C%234-Report@Sept2025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aily"/>
      <sheetName val="so1"/>
      <sheetName val="so2"/>
      <sheetName val="net_income"/>
      <sheetName val="financial"/>
    </sheetNames>
    <sheetDataSet>
      <sheetData sheetId="0">
        <row r="28">
          <cell r="B28">
            <v>36850</v>
          </cell>
          <cell r="K28">
            <v>0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aily"/>
      <sheetName val="so1"/>
      <sheetName val="so2"/>
      <sheetName val="net_income"/>
      <sheetName val="financial"/>
    </sheetNames>
    <sheetDataSet>
      <sheetData sheetId="0">
        <row r="28">
          <cell r="B28">
            <v>38350</v>
          </cell>
          <cell r="K28">
            <v>0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aily"/>
      <sheetName val="so1"/>
      <sheetName val="so2"/>
      <sheetName val="net_income"/>
      <sheetName val="financial"/>
    </sheetNames>
    <sheetDataSet>
      <sheetData sheetId="0">
        <row r="28">
          <cell r="B28">
            <v>25300</v>
          </cell>
          <cell r="K28">
            <v>0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aily"/>
      <sheetName val="so1"/>
      <sheetName val="so2"/>
      <sheetName val="net_income"/>
      <sheetName val="financial"/>
    </sheetNames>
    <sheetDataSet>
      <sheetData sheetId="0">
        <row r="28">
          <cell r="B28">
            <v>35100</v>
          </cell>
          <cell r="K28">
            <v>0</v>
          </cell>
        </row>
      </sheetData>
      <sheetData sheetId="1"/>
      <sheetData sheetId="2"/>
      <sheetData sheetId="3"/>
      <sheetData sheetId="4"/>
    </sheetDataSet>
  </externalBook>
</externalLink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Q862"/>
  <sheetViews>
    <sheetView zoomScaleNormal="100" workbookViewId="0">
      <selection activeCell="G24" sqref="G24"/>
    </sheetView>
  </sheetViews>
  <sheetFormatPr defaultColWidth="14.44140625" defaultRowHeight="15" customHeight="1"/>
  <cols>
    <col min="1" max="1" width="11.109375" customWidth="1"/>
    <col min="2" max="2" width="11.44140625" customWidth="1"/>
    <col min="3" max="3" width="9.5546875" customWidth="1"/>
    <col min="4" max="4" width="8.88671875" customWidth="1"/>
    <col min="5" max="5" width="11.33203125" customWidth="1"/>
    <col min="6" max="6" width="11.44140625" customWidth="1"/>
    <col min="7" max="7" width="8.6640625" customWidth="1"/>
    <col min="8" max="8" width="7" customWidth="1"/>
    <col min="9" max="9" width="6.33203125" customWidth="1"/>
    <col min="10" max="10" width="13.44140625" customWidth="1"/>
    <col min="11" max="11" width="7.6640625" customWidth="1"/>
    <col min="12" max="12" width="11.5546875" customWidth="1"/>
    <col min="13" max="13" width="12.88671875" customWidth="1"/>
    <col min="14" max="14" width="12.109375" customWidth="1"/>
    <col min="15" max="15" width="8.6640625" customWidth="1"/>
    <col min="16" max="16" width="10.109375" customWidth="1"/>
    <col min="17" max="26" width="8.6640625" customWidth="1"/>
  </cols>
  <sheetData>
    <row r="1" spans="1:16" s="84" customFormat="1" ht="15" customHeight="1">
      <c r="A1" s="118"/>
      <c r="B1" s="118"/>
      <c r="C1" s="118"/>
      <c r="D1" s="118"/>
      <c r="E1" s="118"/>
      <c r="F1" s="118"/>
      <c r="G1" s="118"/>
      <c r="H1" s="118"/>
      <c r="I1" s="118"/>
      <c r="J1" s="118"/>
      <c r="K1" s="118"/>
      <c r="L1" s="118"/>
      <c r="M1" s="118"/>
      <c r="N1" s="118"/>
      <c r="O1" s="118"/>
      <c r="P1" s="118"/>
    </row>
    <row r="2" spans="1:16" s="84" customFormat="1" ht="15" customHeight="1">
      <c r="A2" s="121" t="s">
        <v>0</v>
      </c>
      <c r="B2" s="121"/>
      <c r="C2" s="121"/>
      <c r="D2" s="121"/>
      <c r="E2" s="121"/>
      <c r="F2" s="121"/>
      <c r="G2" s="121"/>
      <c r="H2" s="121"/>
      <c r="I2" s="121"/>
      <c r="J2" s="121"/>
      <c r="K2" s="121"/>
      <c r="L2" s="121"/>
      <c r="M2" s="121"/>
      <c r="N2" s="121"/>
      <c r="O2" s="118"/>
      <c r="P2" s="118"/>
    </row>
    <row r="3" spans="1:16" s="84" customFormat="1" ht="15" customHeight="1">
      <c r="A3" s="120" t="s">
        <v>1</v>
      </c>
      <c r="B3" s="120"/>
      <c r="C3" s="120"/>
      <c r="D3" s="120"/>
      <c r="E3" s="120"/>
      <c r="F3" s="120"/>
      <c r="G3" s="120"/>
      <c r="H3" s="120"/>
      <c r="I3" s="120"/>
      <c r="J3" s="120"/>
      <c r="K3" s="120"/>
      <c r="L3" s="120"/>
      <c r="M3" s="120"/>
      <c r="N3" s="120"/>
      <c r="O3" s="118"/>
      <c r="P3" s="118"/>
    </row>
    <row r="4" spans="1:16" s="84" customFormat="1" ht="11.1" customHeight="1">
      <c r="A4" s="117"/>
      <c r="B4" s="117"/>
      <c r="C4" s="117"/>
      <c r="D4" s="117"/>
      <c r="E4" s="117"/>
      <c r="F4" s="117"/>
      <c r="G4" s="117"/>
      <c r="H4" s="117"/>
      <c r="I4" s="117"/>
      <c r="J4" s="117"/>
      <c r="K4" s="117"/>
      <c r="L4" s="117"/>
      <c r="M4" s="117"/>
      <c r="N4" s="117"/>
      <c r="O4" s="118"/>
      <c r="P4" s="118"/>
    </row>
    <row r="5" spans="1:16" s="84" customFormat="1" ht="15" customHeight="1">
      <c r="A5" s="122" t="s">
        <v>2</v>
      </c>
      <c r="B5" s="122"/>
      <c r="C5" s="122"/>
      <c r="D5" s="122"/>
      <c r="E5" s="122"/>
      <c r="F5" s="122"/>
      <c r="G5" s="122"/>
      <c r="H5" s="122"/>
      <c r="I5" s="122"/>
      <c r="J5" s="122"/>
      <c r="K5" s="122"/>
      <c r="L5" s="122"/>
      <c r="M5" s="122"/>
      <c r="N5" s="122"/>
      <c r="O5" s="118"/>
      <c r="P5" s="118"/>
    </row>
    <row r="6" spans="1:16" s="84" customFormat="1" ht="15" customHeight="1">
      <c r="A6" s="123" t="s">
        <v>3</v>
      </c>
      <c r="B6" s="123"/>
      <c r="C6" s="123"/>
      <c r="D6" s="123"/>
      <c r="E6" s="123"/>
      <c r="F6" s="123"/>
      <c r="G6" s="123"/>
      <c r="H6" s="123"/>
      <c r="I6" s="123"/>
      <c r="J6" s="123"/>
      <c r="K6" s="123"/>
      <c r="L6" s="123"/>
      <c r="M6" s="123"/>
      <c r="N6" s="123"/>
      <c r="O6" s="118"/>
      <c r="P6" s="118"/>
    </row>
    <row r="7" spans="1:16" s="84" customFormat="1" ht="15" customHeight="1">
      <c r="A7" s="124" t="s">
        <v>4</v>
      </c>
      <c r="B7" s="124"/>
      <c r="C7" s="124"/>
      <c r="D7" s="124"/>
      <c r="E7" s="124"/>
      <c r="F7" s="124"/>
      <c r="G7" s="124"/>
      <c r="H7" s="124"/>
      <c r="I7" s="124"/>
      <c r="J7" s="124"/>
      <c r="K7" s="124"/>
      <c r="L7" s="124"/>
      <c r="M7" s="124"/>
      <c r="N7" s="124"/>
      <c r="O7" s="118"/>
      <c r="P7" s="118"/>
    </row>
    <row r="8" spans="1:16" s="46" customFormat="1" ht="12.6" customHeight="1">
      <c r="A8" s="118"/>
      <c r="B8" s="118"/>
      <c r="C8" s="118"/>
      <c r="D8" s="118"/>
      <c r="E8" s="118"/>
      <c r="F8" s="118"/>
      <c r="G8" s="118"/>
      <c r="H8" s="118"/>
      <c r="I8" s="118"/>
      <c r="J8" s="118"/>
      <c r="K8" s="118"/>
      <c r="L8" s="118"/>
      <c r="M8" s="118"/>
      <c r="N8" s="118"/>
      <c r="O8" s="118"/>
      <c r="P8" s="118"/>
    </row>
    <row r="9" spans="1:16" s="50" customFormat="1" ht="18.899999999999999" customHeight="1">
      <c r="A9" s="119" t="s">
        <v>5</v>
      </c>
      <c r="B9" s="119"/>
      <c r="C9" s="119"/>
      <c r="D9" s="119"/>
      <c r="E9" s="119"/>
      <c r="F9" s="119"/>
      <c r="G9" s="119"/>
      <c r="H9" s="119"/>
      <c r="I9" s="119"/>
      <c r="J9" s="119"/>
      <c r="K9" s="119"/>
      <c r="L9" s="119"/>
      <c r="M9" s="119"/>
      <c r="N9" s="119"/>
    </row>
    <row r="10" spans="1:16" s="53" customFormat="1" ht="30" customHeight="1">
      <c r="A10" s="51" t="s">
        <v>6</v>
      </c>
      <c r="B10" s="51" t="s">
        <v>7</v>
      </c>
      <c r="C10" s="51" t="s">
        <v>8</v>
      </c>
      <c r="D10" s="51" t="s">
        <v>9</v>
      </c>
      <c r="E10" s="51" t="s">
        <v>10</v>
      </c>
      <c r="F10" s="51" t="s">
        <v>11</v>
      </c>
      <c r="G10" s="51" t="s">
        <v>12</v>
      </c>
      <c r="H10" s="51" t="s">
        <v>13</v>
      </c>
      <c r="I10" s="51" t="s">
        <v>14</v>
      </c>
      <c r="J10" s="51" t="s">
        <v>15</v>
      </c>
      <c r="K10" s="52" t="s">
        <v>16</v>
      </c>
      <c r="L10" s="60" t="s">
        <v>17</v>
      </c>
      <c r="M10" s="61" t="s">
        <v>18</v>
      </c>
      <c r="N10" s="61" t="s">
        <v>19</v>
      </c>
    </row>
    <row r="11" spans="1:16" s="79" customFormat="1" ht="18" customHeight="1">
      <c r="A11" s="55" t="s">
        <v>20</v>
      </c>
      <c r="B11" s="116"/>
      <c r="C11" s="116"/>
      <c r="D11" s="116"/>
      <c r="E11" s="116"/>
      <c r="F11" s="116"/>
      <c r="G11" s="116"/>
      <c r="H11" s="116"/>
      <c r="I11" s="116"/>
      <c r="J11" s="116"/>
      <c r="K11" s="75">
        <f>[1]daily!$K$28</f>
        <v>0</v>
      </c>
      <c r="L11" s="76">
        <f>SUM(B11:K11)</f>
        <v>0</v>
      </c>
      <c r="M11" s="77"/>
      <c r="N11" s="78">
        <f>SUM(M11-L11)</f>
        <v>0</v>
      </c>
    </row>
    <row r="12" spans="1:16" s="79" customFormat="1" ht="18" customHeight="1">
      <c r="A12" s="55" t="s">
        <v>21</v>
      </c>
      <c r="B12" s="116"/>
      <c r="C12" s="116"/>
      <c r="D12" s="116"/>
      <c r="E12" s="116"/>
      <c r="F12" s="116"/>
      <c r="G12" s="116"/>
      <c r="H12" s="116"/>
      <c r="I12" s="116"/>
      <c r="J12" s="116"/>
      <c r="K12" s="75">
        <f>[2]daily!$K$28</f>
        <v>0</v>
      </c>
      <c r="L12" s="76">
        <f t="shared" ref="L12:L18" si="0">SUM(B12:K12)</f>
        <v>0</v>
      </c>
      <c r="M12" s="77"/>
      <c r="N12" s="78">
        <f t="shared" ref="N12:N18" si="1">SUM(M12-L12)</f>
        <v>0</v>
      </c>
    </row>
    <row r="13" spans="1:16" s="79" customFormat="1" ht="18" customHeight="1">
      <c r="A13" s="55" t="s">
        <v>22</v>
      </c>
      <c r="B13" s="116"/>
      <c r="C13" s="116"/>
      <c r="D13" s="116"/>
      <c r="E13" s="116"/>
      <c r="F13" s="116"/>
      <c r="G13" s="116"/>
      <c r="H13" s="116"/>
      <c r="I13" s="116"/>
      <c r="J13" s="116"/>
      <c r="K13" s="75">
        <f>[3]daily!$K$28</f>
        <v>0</v>
      </c>
      <c r="L13" s="76">
        <f t="shared" si="0"/>
        <v>0</v>
      </c>
      <c r="M13" s="77"/>
      <c r="N13" s="78">
        <f t="shared" si="1"/>
        <v>0</v>
      </c>
    </row>
    <row r="14" spans="1:16" s="79" customFormat="1" ht="18" customHeight="1">
      <c r="A14" s="55" t="s">
        <v>23</v>
      </c>
      <c r="B14" s="116"/>
      <c r="C14" s="116"/>
      <c r="D14" s="116"/>
      <c r="E14" s="116"/>
      <c r="F14" s="116"/>
      <c r="G14" s="116"/>
      <c r="H14" s="116"/>
      <c r="I14" s="116"/>
      <c r="J14" s="116"/>
      <c r="K14" s="75">
        <f>[4]daily!$K$28</f>
        <v>0</v>
      </c>
      <c r="L14" s="76">
        <f t="shared" si="0"/>
        <v>0</v>
      </c>
      <c r="M14" s="77"/>
      <c r="N14" s="78">
        <f t="shared" si="1"/>
        <v>0</v>
      </c>
      <c r="P14" s="81"/>
    </row>
    <row r="15" spans="1:16" ht="15.75" customHeight="1">
      <c r="A15" s="56"/>
      <c r="B15" s="65"/>
      <c r="C15" s="65"/>
      <c r="D15" s="65"/>
      <c r="E15" s="65"/>
      <c r="F15" s="65"/>
      <c r="G15" s="65"/>
      <c r="H15" s="65"/>
      <c r="I15" s="65"/>
      <c r="J15" s="65"/>
      <c r="K15" s="66"/>
      <c r="L15" s="62">
        <f t="shared" si="0"/>
        <v>0</v>
      </c>
      <c r="M15" s="63"/>
      <c r="N15" s="64">
        <f t="shared" si="1"/>
        <v>0</v>
      </c>
      <c r="O15" s="118"/>
      <c r="P15" s="73"/>
    </row>
    <row r="16" spans="1:16" ht="15.75" customHeight="1">
      <c r="A16" s="57"/>
      <c r="B16" s="65"/>
      <c r="C16" s="65"/>
      <c r="D16" s="65"/>
      <c r="E16" s="65"/>
      <c r="F16" s="65"/>
      <c r="G16" s="65"/>
      <c r="H16" s="65"/>
      <c r="I16" s="65"/>
      <c r="J16" s="65"/>
      <c r="K16" s="66"/>
      <c r="L16" s="62">
        <f t="shared" si="0"/>
        <v>0</v>
      </c>
      <c r="M16" s="63"/>
      <c r="N16" s="64">
        <f t="shared" si="1"/>
        <v>0</v>
      </c>
      <c r="O16" s="118"/>
      <c r="P16" s="73"/>
    </row>
    <row r="17" spans="1:17" ht="15.75" customHeight="1">
      <c r="A17" s="57"/>
      <c r="B17" s="65"/>
      <c r="C17" s="65"/>
      <c r="D17" s="65"/>
      <c r="E17" s="65"/>
      <c r="F17" s="65"/>
      <c r="G17" s="65"/>
      <c r="H17" s="65"/>
      <c r="I17" s="65"/>
      <c r="J17" s="65"/>
      <c r="K17" s="66"/>
      <c r="L17" s="62">
        <f t="shared" si="0"/>
        <v>0</v>
      </c>
      <c r="M17" s="63"/>
      <c r="N17" s="64">
        <f t="shared" si="1"/>
        <v>0</v>
      </c>
      <c r="O17" s="118"/>
      <c r="P17" s="81"/>
      <c r="Q17" s="79"/>
    </row>
    <row r="18" spans="1:17" ht="15.75" customHeight="1">
      <c r="A18" s="57"/>
      <c r="B18" s="65"/>
      <c r="C18" s="65"/>
      <c r="D18" s="65"/>
      <c r="E18" s="65"/>
      <c r="F18" s="65"/>
      <c r="G18" s="65"/>
      <c r="H18" s="65"/>
      <c r="I18" s="65"/>
      <c r="J18" s="65"/>
      <c r="K18" s="66"/>
      <c r="L18" s="62">
        <f t="shared" si="0"/>
        <v>0</v>
      </c>
      <c r="M18" s="63"/>
      <c r="N18" s="64">
        <f t="shared" si="1"/>
        <v>0</v>
      </c>
      <c r="O18" s="118"/>
      <c r="P18" s="81"/>
      <c r="Q18" s="79"/>
    </row>
    <row r="19" spans="1:17" s="59" customFormat="1" ht="15.75" customHeight="1">
      <c r="A19" s="58"/>
      <c r="B19" s="67">
        <f>SUM(B11:B18)</f>
        <v>0</v>
      </c>
      <c r="C19" s="67">
        <f>SUM(C11:C18)</f>
        <v>0</v>
      </c>
      <c r="D19" s="67">
        <f t="shared" ref="D19:K19" si="2">SUM(D11:D18)</f>
        <v>0</v>
      </c>
      <c r="E19" s="67">
        <f t="shared" si="2"/>
        <v>0</v>
      </c>
      <c r="F19" s="67">
        <f t="shared" si="2"/>
        <v>0</v>
      </c>
      <c r="G19" s="67">
        <f t="shared" si="2"/>
        <v>0</v>
      </c>
      <c r="H19" s="67">
        <f t="shared" si="2"/>
        <v>0</v>
      </c>
      <c r="I19" s="67">
        <f t="shared" si="2"/>
        <v>0</v>
      </c>
      <c r="J19" s="67">
        <f t="shared" si="2"/>
        <v>0</v>
      </c>
      <c r="K19" s="68">
        <f t="shared" si="2"/>
        <v>0</v>
      </c>
      <c r="L19" s="74">
        <f>SUM(L11:L18)</f>
        <v>0</v>
      </c>
      <c r="M19" s="67">
        <f>SUM(M11:M18)</f>
        <v>0</v>
      </c>
      <c r="N19" s="67">
        <f>SUM(N11:N18)</f>
        <v>0</v>
      </c>
      <c r="P19" s="82"/>
      <c r="Q19" s="80"/>
    </row>
    <row r="20" spans="1:17" ht="15.75" customHeight="1">
      <c r="A20" s="118"/>
      <c r="B20" s="118"/>
      <c r="C20" s="118"/>
      <c r="D20" s="118"/>
      <c r="E20" s="118"/>
      <c r="F20" s="118"/>
      <c r="G20" s="118"/>
      <c r="H20" s="118"/>
      <c r="I20" s="118"/>
      <c r="J20" s="118"/>
      <c r="K20" s="118"/>
      <c r="L20" s="73"/>
      <c r="M20" s="118"/>
      <c r="N20" s="118"/>
      <c r="O20" s="118"/>
      <c r="P20" s="83"/>
      <c r="Q20" s="118"/>
    </row>
    <row r="21" spans="1:17" ht="15.75" customHeight="1">
      <c r="A21" s="118"/>
      <c r="B21" s="39" t="s">
        <v>24</v>
      </c>
      <c r="C21" s="39"/>
      <c r="D21" s="39"/>
      <c r="E21" s="118"/>
      <c r="F21" s="118"/>
      <c r="G21" s="118"/>
      <c r="H21" s="118"/>
      <c r="I21" s="118"/>
      <c r="J21" s="118"/>
      <c r="K21" s="118"/>
      <c r="L21" s="118"/>
      <c r="M21" s="118"/>
      <c r="N21" s="118"/>
      <c r="O21" s="118"/>
      <c r="P21" s="73"/>
      <c r="Q21" s="118"/>
    </row>
    <row r="22" spans="1:17" ht="15.75" customHeight="1">
      <c r="A22" s="118"/>
      <c r="B22" s="39"/>
      <c r="C22" s="40"/>
      <c r="D22" s="40"/>
      <c r="E22" s="118"/>
      <c r="F22" s="118"/>
      <c r="G22" s="118"/>
      <c r="H22" s="118"/>
      <c r="I22" s="118"/>
      <c r="J22" s="118"/>
      <c r="K22" s="118"/>
      <c r="L22" s="118"/>
      <c r="M22" s="118"/>
      <c r="N22" s="118"/>
      <c r="O22" s="118"/>
      <c r="P22" s="118"/>
      <c r="Q22" s="118"/>
    </row>
    <row r="23" spans="1:17" ht="15.75" customHeight="1">
      <c r="A23" s="118"/>
      <c r="B23" s="41" t="s">
        <v>25</v>
      </c>
      <c r="C23" s="39"/>
      <c r="D23" s="41"/>
      <c r="E23" s="118"/>
      <c r="F23" s="118"/>
      <c r="G23" s="118"/>
      <c r="H23" s="118"/>
      <c r="I23" s="118"/>
      <c r="J23" s="118"/>
      <c r="K23" s="118"/>
      <c r="L23" s="118"/>
      <c r="M23" s="118"/>
      <c r="N23" s="118"/>
      <c r="O23" s="118"/>
      <c r="P23" s="118"/>
      <c r="Q23" s="118"/>
    </row>
    <row r="24" spans="1:17" ht="15.75" customHeight="1">
      <c r="A24" s="118"/>
      <c r="B24" s="39" t="s">
        <v>26</v>
      </c>
      <c r="C24" s="39"/>
      <c r="D24" s="41"/>
      <c r="E24" s="118"/>
      <c r="F24" s="118"/>
      <c r="G24" s="118"/>
      <c r="H24" s="118"/>
      <c r="I24" s="118"/>
      <c r="J24" s="118"/>
      <c r="K24" s="118"/>
      <c r="L24" s="118"/>
      <c r="M24" s="118"/>
      <c r="N24" s="118"/>
      <c r="O24" s="118"/>
      <c r="P24" s="118"/>
      <c r="Q24" s="118"/>
    </row>
    <row r="25" spans="1:17" ht="15.75" customHeight="1">
      <c r="A25" s="118"/>
      <c r="B25" s="39"/>
      <c r="C25" s="39"/>
      <c r="D25" s="39"/>
      <c r="E25" s="118"/>
      <c r="F25" s="118"/>
      <c r="G25" s="118"/>
      <c r="H25" s="118"/>
      <c r="I25" s="118"/>
      <c r="J25" s="118"/>
      <c r="K25" s="118"/>
      <c r="L25" s="118"/>
      <c r="M25" s="118"/>
      <c r="N25" s="118"/>
      <c r="O25" s="118"/>
      <c r="P25" s="118"/>
      <c r="Q25" s="118"/>
    </row>
    <row r="26" spans="1:17" ht="15.75" customHeight="1">
      <c r="A26" s="118"/>
      <c r="B26" s="39" t="s">
        <v>27</v>
      </c>
      <c r="C26" s="39"/>
      <c r="D26" s="39"/>
      <c r="E26" s="118"/>
      <c r="F26" s="118"/>
      <c r="G26" s="118"/>
      <c r="H26" s="118"/>
      <c r="I26" s="118"/>
      <c r="J26" s="118"/>
      <c r="K26" s="118"/>
      <c r="L26" s="118"/>
      <c r="M26" s="118"/>
      <c r="N26" s="118"/>
      <c r="O26" s="118"/>
      <c r="P26" s="118"/>
      <c r="Q26" s="118"/>
    </row>
    <row r="27" spans="1:17" ht="15.75" customHeight="1">
      <c r="A27" s="118"/>
      <c r="B27" s="39"/>
      <c r="C27" s="39"/>
      <c r="D27" s="41"/>
      <c r="E27" s="118"/>
      <c r="F27" s="118"/>
      <c r="G27" s="118"/>
      <c r="H27" s="118"/>
      <c r="I27" s="118"/>
      <c r="J27" s="118"/>
      <c r="K27" s="118"/>
      <c r="L27" s="118"/>
      <c r="M27" s="118"/>
      <c r="N27" s="118"/>
      <c r="O27" s="118"/>
      <c r="P27" s="118"/>
      <c r="Q27" s="118"/>
    </row>
    <row r="28" spans="1:17" ht="15.75" customHeight="1">
      <c r="A28" s="118"/>
      <c r="B28" s="41"/>
      <c r="C28" s="41" t="s">
        <v>28</v>
      </c>
      <c r="D28" s="42"/>
      <c r="E28" s="118"/>
      <c r="F28" s="118"/>
      <c r="G28" s="118"/>
      <c r="H28" s="42"/>
      <c r="I28" s="118"/>
      <c r="J28" s="118"/>
      <c r="K28" s="118"/>
      <c r="L28" s="42" t="s">
        <v>29</v>
      </c>
      <c r="M28" s="118"/>
      <c r="N28" s="118"/>
      <c r="O28" s="118"/>
      <c r="P28" s="118"/>
      <c r="Q28" s="118"/>
    </row>
    <row r="29" spans="1:17" ht="15.75" customHeight="1">
      <c r="A29" s="118"/>
      <c r="B29" s="39"/>
      <c r="C29" s="39" t="s">
        <v>30</v>
      </c>
      <c r="D29" s="43"/>
      <c r="E29" s="118"/>
      <c r="F29" s="118"/>
      <c r="G29" s="118"/>
      <c r="H29" s="43"/>
      <c r="I29" s="118"/>
      <c r="J29" s="118"/>
      <c r="K29" s="118"/>
      <c r="L29" s="43" t="s">
        <v>31</v>
      </c>
      <c r="M29" s="118"/>
      <c r="N29" s="118"/>
      <c r="O29" s="118"/>
      <c r="P29" s="118"/>
      <c r="Q29" s="118"/>
    </row>
    <row r="30" spans="1:17" ht="15.75" customHeight="1">
      <c r="A30" s="118"/>
      <c r="B30" s="1"/>
      <c r="C30" s="39" t="s">
        <v>32</v>
      </c>
      <c r="D30" s="43"/>
      <c r="E30" s="118"/>
      <c r="F30" s="118"/>
      <c r="G30" s="118"/>
      <c r="H30" s="43"/>
      <c r="I30" s="118"/>
      <c r="J30" s="118"/>
      <c r="K30" s="118"/>
      <c r="L30" s="43" t="s">
        <v>33</v>
      </c>
      <c r="M30" s="118"/>
      <c r="N30" s="118"/>
      <c r="O30" s="118"/>
      <c r="P30" s="118"/>
      <c r="Q30" s="118"/>
    </row>
    <row r="31" spans="1:17" ht="15.75" customHeight="1">
      <c r="A31" s="118"/>
      <c r="B31" s="118"/>
      <c r="C31" s="118"/>
      <c r="D31" s="118"/>
      <c r="E31" s="118"/>
      <c r="F31" s="118"/>
      <c r="G31" s="118"/>
      <c r="H31" s="118"/>
      <c r="I31" s="118"/>
      <c r="J31" s="118"/>
      <c r="K31" s="118"/>
      <c r="L31" s="118"/>
      <c r="M31" s="118"/>
      <c r="N31" s="118"/>
      <c r="O31" s="118"/>
      <c r="P31" s="118"/>
      <c r="Q31" s="118"/>
    </row>
    <row r="32" spans="1:17" ht="15.75" customHeight="1">
      <c r="A32" s="118"/>
      <c r="B32" s="118"/>
      <c r="C32" s="118"/>
      <c r="D32" s="118"/>
      <c r="E32" s="118"/>
      <c r="F32" s="118"/>
      <c r="G32" s="118"/>
      <c r="H32" s="118"/>
      <c r="I32" s="118"/>
      <c r="J32" s="118"/>
      <c r="K32" s="118"/>
      <c r="L32" s="118"/>
      <c r="M32" s="118"/>
      <c r="N32" s="118"/>
      <c r="O32" s="118"/>
      <c r="P32" s="118"/>
      <c r="Q32" s="118"/>
    </row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</sheetData>
  <mergeCells count="6">
    <mergeCell ref="A9:N9"/>
    <mergeCell ref="A3:N3"/>
    <mergeCell ref="A2:N2"/>
    <mergeCell ref="A5:N5"/>
    <mergeCell ref="A6:N6"/>
    <mergeCell ref="A7:N7"/>
  </mergeCells>
  <pageMargins left="0.23622047244094491" right="0.23622047244094491" top="0.55118110236220474" bottom="0.55118110236220474" header="0" footer="0"/>
  <pageSetup paperSize="9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01"/>
  <sheetViews>
    <sheetView tabSelected="1" topLeftCell="A30" zoomScaleNormal="100" zoomScaleSheetLayoutView="89" workbookViewId="0">
      <selection activeCell="D55" sqref="D55"/>
    </sheetView>
  </sheetViews>
  <sheetFormatPr defaultColWidth="14.44140625" defaultRowHeight="15" customHeight="1"/>
  <cols>
    <col min="1" max="2" width="6.33203125" customWidth="1"/>
    <col min="3" max="3" width="60.109375" customWidth="1"/>
    <col min="4" max="5" width="19.109375" customWidth="1"/>
    <col min="6" max="7" width="8.6640625" customWidth="1"/>
    <col min="8" max="8" width="11.44140625" customWidth="1"/>
    <col min="9" max="26" width="8.6640625" customWidth="1"/>
  </cols>
  <sheetData>
    <row r="1" spans="1:26" ht="18" customHeight="1">
      <c r="A1" s="131" t="s">
        <v>0</v>
      </c>
      <c r="B1" s="132"/>
      <c r="C1" s="132"/>
      <c r="D1" s="132"/>
      <c r="E1" s="132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1.4" customHeight="1">
      <c r="A2" s="120" t="s">
        <v>1</v>
      </c>
      <c r="B2" s="132"/>
      <c r="C2" s="132"/>
      <c r="D2" s="132"/>
      <c r="E2" s="132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9.6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7.399999999999999">
      <c r="A4" s="122" t="s">
        <v>2</v>
      </c>
      <c r="B4" s="132"/>
      <c r="C4" s="132"/>
      <c r="D4" s="132"/>
      <c r="E4" s="132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4.4">
      <c r="A5" s="123" t="s">
        <v>3</v>
      </c>
      <c r="B5" s="132"/>
      <c r="C5" s="132"/>
      <c r="D5" s="132"/>
      <c r="E5" s="132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thickBot="1">
      <c r="A6" s="124" t="s">
        <v>4</v>
      </c>
      <c r="B6" s="133"/>
      <c r="C6" s="133"/>
      <c r="D6" s="133"/>
      <c r="E6" s="133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" customHeight="1" thickBot="1">
      <c r="A7" s="125"/>
      <c r="B7" s="126"/>
      <c r="C7" s="127"/>
      <c r="D7" s="85" t="s">
        <v>34</v>
      </c>
      <c r="E7" s="86" t="s">
        <v>35</v>
      </c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4.25" customHeight="1">
      <c r="A8" s="128"/>
      <c r="B8" s="129"/>
      <c r="C8" s="130"/>
      <c r="D8" s="3"/>
      <c r="E8" s="87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4.4">
      <c r="A9" s="88" t="s">
        <v>36</v>
      </c>
      <c r="B9" s="48"/>
      <c r="C9" s="7"/>
      <c r="D9" s="8"/>
      <c r="E9" s="87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4.4">
      <c r="A10" s="88"/>
      <c r="B10" s="47" t="s">
        <v>37</v>
      </c>
      <c r="C10" s="7"/>
      <c r="D10" s="8"/>
      <c r="E10" s="87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4.4">
      <c r="A11" s="88"/>
      <c r="B11" s="48"/>
      <c r="C11" s="7" t="s">
        <v>38</v>
      </c>
      <c r="D11" s="69">
        <f>daily!M19</f>
        <v>0</v>
      </c>
      <c r="E11" s="89">
        <v>1164828</v>
      </c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4.4">
      <c r="A12" s="88"/>
      <c r="B12" s="48"/>
      <c r="C12" s="7" t="s">
        <v>39</v>
      </c>
      <c r="D12" s="69">
        <v>0</v>
      </c>
      <c r="E12" s="89">
        <v>0</v>
      </c>
      <c r="F12" s="1"/>
      <c r="G12" s="1"/>
      <c r="H12" s="9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4.4">
      <c r="A13" s="88"/>
      <c r="B13" s="48"/>
      <c r="C13" s="7" t="s">
        <v>40</v>
      </c>
      <c r="D13" s="69">
        <v>0</v>
      </c>
      <c r="E13" s="89">
        <v>0</v>
      </c>
      <c r="F13" s="1"/>
      <c r="G13" s="1"/>
      <c r="H13" s="9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4.4">
      <c r="A14" s="88"/>
      <c r="B14" s="48"/>
      <c r="C14" s="7"/>
      <c r="D14" s="70"/>
      <c r="E14" s="90"/>
      <c r="F14" s="1"/>
      <c r="G14" s="1"/>
      <c r="H14" s="9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4.4">
      <c r="A15" s="88"/>
      <c r="B15" s="47"/>
      <c r="C15" s="7"/>
      <c r="D15" s="71">
        <f t="shared" ref="D15:E15" si="0">SUM(D9:D14)</f>
        <v>0</v>
      </c>
      <c r="E15" s="91">
        <f t="shared" si="0"/>
        <v>1164828</v>
      </c>
      <c r="F15" s="1"/>
      <c r="G15" s="1"/>
      <c r="H15" s="9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4.4">
      <c r="A16" s="88"/>
      <c r="B16" s="47" t="s">
        <v>41</v>
      </c>
      <c r="C16" s="7"/>
      <c r="D16" s="71"/>
      <c r="E16" s="92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4.4">
      <c r="A17" s="88"/>
      <c r="B17" s="48"/>
      <c r="C17" s="7" t="s">
        <v>42</v>
      </c>
      <c r="D17" s="69">
        <f>daily!J19</f>
        <v>0</v>
      </c>
      <c r="E17" s="89">
        <v>842318</v>
      </c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4.4">
      <c r="A18" s="88"/>
      <c r="B18" s="48"/>
      <c r="C18" s="7" t="s">
        <v>43</v>
      </c>
      <c r="D18" s="69">
        <v>0</v>
      </c>
      <c r="E18" s="89">
        <v>0</v>
      </c>
      <c r="F18" s="1"/>
      <c r="G18" s="1"/>
      <c r="H18" s="12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4.4">
      <c r="A19" s="88"/>
      <c r="B19" s="48"/>
      <c r="C19" s="7" t="s">
        <v>44</v>
      </c>
      <c r="D19" s="69">
        <v>0</v>
      </c>
      <c r="E19" s="89">
        <v>0</v>
      </c>
      <c r="F19" s="1"/>
      <c r="G19" s="1"/>
      <c r="H19" s="9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4.4">
      <c r="A20" s="88"/>
      <c r="B20" s="48"/>
      <c r="C20" s="7" t="s">
        <v>45</v>
      </c>
      <c r="D20" s="69">
        <v>0</v>
      </c>
      <c r="E20" s="89">
        <v>0</v>
      </c>
      <c r="F20" s="1"/>
      <c r="G20" s="1"/>
      <c r="H20" s="9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5.75" customHeight="1">
      <c r="A21" s="88"/>
      <c r="B21" s="48"/>
      <c r="C21" s="7" t="s">
        <v>46</v>
      </c>
      <c r="D21" s="70"/>
      <c r="E21" s="90">
        <v>42570</v>
      </c>
      <c r="F21" s="1"/>
      <c r="G21" s="1"/>
      <c r="H21" s="9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5.75" customHeight="1">
      <c r="A22" s="88"/>
      <c r="B22" s="48" t="s">
        <v>47</v>
      </c>
      <c r="C22" s="7"/>
      <c r="D22" s="69">
        <f>D15-D17-D21</f>
        <v>0</v>
      </c>
      <c r="E22" s="93">
        <f>SUM(E15-E17-E21)</f>
        <v>279940</v>
      </c>
      <c r="F22" s="1"/>
      <c r="G22" s="1"/>
      <c r="H22" s="9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5.75" customHeight="1">
      <c r="A23" s="88"/>
      <c r="B23" s="48" t="s">
        <v>48</v>
      </c>
      <c r="C23" s="7"/>
      <c r="D23" s="69">
        <v>0</v>
      </c>
      <c r="E23" s="89">
        <v>0</v>
      </c>
      <c r="F23" s="1"/>
      <c r="G23" s="1"/>
      <c r="H23" s="9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5.75" customHeight="1" thickBot="1">
      <c r="A24" s="94"/>
      <c r="B24" s="13" t="s">
        <v>49</v>
      </c>
      <c r="C24" s="14"/>
      <c r="D24" s="72">
        <f t="shared" ref="D24:E24" si="1">SUM(D22:D23)</f>
        <v>0</v>
      </c>
      <c r="E24" s="95">
        <f t="shared" si="1"/>
        <v>279940</v>
      </c>
      <c r="F24" s="1"/>
      <c r="G24" s="1"/>
      <c r="H24" s="9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5.75" customHeight="1">
      <c r="A25" s="88"/>
      <c r="B25" s="48"/>
      <c r="C25" s="7"/>
      <c r="D25" s="8"/>
      <c r="E25" s="87"/>
      <c r="F25" s="1"/>
      <c r="G25" s="1"/>
      <c r="H25" s="9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5.75" customHeight="1">
      <c r="A26" s="88" t="s">
        <v>50</v>
      </c>
      <c r="B26" s="48"/>
      <c r="C26" s="7"/>
      <c r="D26" s="8"/>
      <c r="E26" s="87"/>
      <c r="F26" s="1"/>
      <c r="G26" s="1"/>
      <c r="H26" s="9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5.75" customHeight="1">
      <c r="A27" s="88"/>
      <c r="B27" s="48" t="s">
        <v>51</v>
      </c>
      <c r="C27" s="7"/>
      <c r="D27" s="8"/>
      <c r="E27" s="87"/>
      <c r="F27" s="1"/>
      <c r="G27" s="1"/>
      <c r="H27" s="9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5.75" customHeight="1">
      <c r="A28" s="88"/>
      <c r="B28" s="48"/>
      <c r="C28" s="7" t="s">
        <v>52</v>
      </c>
      <c r="D28" s="69">
        <f>daily!B19</f>
        <v>0</v>
      </c>
      <c r="E28" s="89">
        <v>123000</v>
      </c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5.75" customHeight="1">
      <c r="A29" s="88"/>
      <c r="B29" s="48"/>
      <c r="C29" s="7" t="s">
        <v>53</v>
      </c>
      <c r="D29" s="69">
        <v>0</v>
      </c>
      <c r="E29" s="89">
        <v>0</v>
      </c>
      <c r="F29" s="1"/>
      <c r="G29" s="1"/>
      <c r="H29" s="9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5.75" customHeight="1">
      <c r="A30" s="88"/>
      <c r="B30" s="48"/>
      <c r="C30" s="7" t="s">
        <v>54</v>
      </c>
      <c r="D30" s="69">
        <f>daily!C19</f>
        <v>0</v>
      </c>
      <c r="E30" s="89">
        <v>4005</v>
      </c>
      <c r="F30" s="1"/>
      <c r="G30" s="1"/>
      <c r="H30" s="9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5.75" customHeight="1">
      <c r="A31" s="88"/>
      <c r="B31" s="48"/>
      <c r="C31" s="7" t="s">
        <v>55</v>
      </c>
      <c r="D31" s="69">
        <v>0</v>
      </c>
      <c r="E31" s="89">
        <v>0</v>
      </c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5.75" customHeight="1">
      <c r="A32" s="88"/>
      <c r="B32" s="48"/>
      <c r="C32" s="7" t="s">
        <v>9</v>
      </c>
      <c r="D32" s="69">
        <f>daily!D19</f>
        <v>0</v>
      </c>
      <c r="E32" s="89">
        <v>0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75" customHeight="1">
      <c r="A33" s="88"/>
      <c r="B33" s="48"/>
      <c r="C33" s="7" t="s">
        <v>10</v>
      </c>
      <c r="D33" s="69">
        <f>daily!E19</f>
        <v>0</v>
      </c>
      <c r="E33" s="89">
        <v>18176</v>
      </c>
      <c r="F33" s="1"/>
      <c r="G33" s="1"/>
      <c r="H33" s="9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75" customHeight="1">
      <c r="A34" s="88"/>
      <c r="B34" s="48"/>
      <c r="C34" s="7" t="s">
        <v>56</v>
      </c>
      <c r="D34" s="69">
        <v>0</v>
      </c>
      <c r="E34" s="89">
        <v>0</v>
      </c>
      <c r="F34" s="1"/>
      <c r="G34" s="1"/>
      <c r="H34" s="9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75" customHeight="1">
      <c r="A35" s="88"/>
      <c r="B35" s="48"/>
      <c r="C35" s="7" t="s">
        <v>57</v>
      </c>
      <c r="D35" s="69">
        <f>daily!I19</f>
        <v>0</v>
      </c>
      <c r="E35" s="89">
        <v>0</v>
      </c>
      <c r="F35" s="1"/>
      <c r="G35" s="1"/>
      <c r="H35" s="9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75" customHeight="1">
      <c r="A36" s="88"/>
      <c r="B36" s="48"/>
      <c r="C36" s="7" t="s">
        <v>58</v>
      </c>
      <c r="D36" s="69">
        <v>0</v>
      </c>
      <c r="E36" s="89">
        <v>0</v>
      </c>
      <c r="F36" s="1"/>
      <c r="G36" s="1"/>
      <c r="H36" s="9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.75" customHeight="1">
      <c r="A37" s="88"/>
      <c r="B37" s="48"/>
      <c r="C37" s="7" t="s">
        <v>59</v>
      </c>
      <c r="D37" s="69">
        <v>0</v>
      </c>
      <c r="E37" s="89">
        <v>0</v>
      </c>
      <c r="F37" s="1"/>
      <c r="G37" s="1"/>
      <c r="H37" s="9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5.75" customHeight="1">
      <c r="A38" s="88"/>
      <c r="B38" s="48"/>
      <c r="C38" s="7" t="s">
        <v>60</v>
      </c>
      <c r="D38" s="69">
        <v>0</v>
      </c>
      <c r="E38" s="89">
        <v>0</v>
      </c>
      <c r="F38" s="1"/>
      <c r="G38" s="1"/>
      <c r="H38" s="9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5.75" customHeight="1">
      <c r="A39" s="88"/>
      <c r="B39" s="48"/>
      <c r="C39" s="7" t="s">
        <v>61</v>
      </c>
      <c r="D39" s="69">
        <f>daily!H19</f>
        <v>0</v>
      </c>
      <c r="E39" s="89">
        <v>0</v>
      </c>
      <c r="F39" s="1"/>
      <c r="G39" s="1"/>
      <c r="H39" s="9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.75" customHeight="1">
      <c r="A40" s="88"/>
      <c r="B40" s="48"/>
      <c r="C40" s="7" t="s">
        <v>62</v>
      </c>
      <c r="D40" s="69">
        <v>0</v>
      </c>
      <c r="E40" s="89">
        <v>0</v>
      </c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.75" customHeight="1">
      <c r="A41" s="88"/>
      <c r="B41" s="48"/>
      <c r="C41" s="7" t="s">
        <v>63</v>
      </c>
      <c r="D41" s="69">
        <v>0</v>
      </c>
      <c r="E41" s="89">
        <v>0</v>
      </c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5.75" customHeight="1">
      <c r="A42" s="88"/>
      <c r="B42" s="48"/>
      <c r="C42" s="7" t="s">
        <v>64</v>
      </c>
      <c r="D42" s="69">
        <v>0</v>
      </c>
      <c r="E42" s="89">
        <v>0</v>
      </c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 customHeight="1">
      <c r="A43" s="88"/>
      <c r="B43" s="48"/>
      <c r="C43" s="7" t="s">
        <v>65</v>
      </c>
      <c r="D43" s="69">
        <v>0</v>
      </c>
      <c r="E43" s="89">
        <v>0</v>
      </c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 customHeight="1">
      <c r="A44" s="96"/>
      <c r="B44" s="48"/>
      <c r="C44" s="7" t="s">
        <v>66</v>
      </c>
      <c r="D44" s="69">
        <v>0</v>
      </c>
      <c r="E44" s="89">
        <v>0</v>
      </c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 customHeight="1">
      <c r="A45" s="96"/>
      <c r="B45" s="48"/>
      <c r="C45" s="54" t="s">
        <v>67</v>
      </c>
      <c r="D45" s="69">
        <f>daily!K19</f>
        <v>0</v>
      </c>
      <c r="E45" s="89">
        <v>0</v>
      </c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 customHeight="1">
      <c r="A46" s="96"/>
      <c r="B46" s="48"/>
      <c r="C46" s="7" t="s">
        <v>68</v>
      </c>
      <c r="D46" s="69">
        <v>0</v>
      </c>
      <c r="E46" s="89">
        <v>0</v>
      </c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>
      <c r="A47" s="96"/>
      <c r="B47" s="48"/>
      <c r="C47" s="7" t="s">
        <v>69</v>
      </c>
      <c r="D47" s="69">
        <v>0</v>
      </c>
      <c r="E47" s="89">
        <v>0</v>
      </c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5.75" customHeight="1">
      <c r="A48" s="96"/>
      <c r="B48" s="48"/>
      <c r="C48" s="7" t="s">
        <v>70</v>
      </c>
      <c r="D48" s="69">
        <f>daily!G19</f>
        <v>0</v>
      </c>
      <c r="E48" s="89">
        <v>0</v>
      </c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 customHeight="1">
      <c r="A49" s="96"/>
      <c r="B49" s="48"/>
      <c r="C49" s="7" t="s">
        <v>71</v>
      </c>
      <c r="D49" s="69">
        <f>daily!F19</f>
        <v>0</v>
      </c>
      <c r="E49" s="89">
        <v>0</v>
      </c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 customHeight="1">
      <c r="A50" s="96"/>
      <c r="B50" s="48"/>
      <c r="C50" s="7" t="s">
        <v>72</v>
      </c>
      <c r="D50" s="70">
        <v>0</v>
      </c>
      <c r="E50" s="89">
        <v>0</v>
      </c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 customHeight="1" thickBot="1">
      <c r="A51" s="97"/>
      <c r="B51" s="98" t="s">
        <v>73</v>
      </c>
      <c r="C51" s="99"/>
      <c r="D51" s="100">
        <f t="shared" ref="D51:E51" si="2">SUM(D28:D50)</f>
        <v>0</v>
      </c>
      <c r="E51" s="101">
        <f t="shared" si="2"/>
        <v>145181</v>
      </c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s="46" customFormat="1" ht="15.75" customHeight="1">
      <c r="A52" s="47"/>
      <c r="B52" s="48"/>
      <c r="C52" s="47"/>
      <c r="D52" s="49"/>
      <c r="E52" s="49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 customHeight="1">
      <c r="A53" s="1"/>
      <c r="B53" s="39" t="s">
        <v>24</v>
      </c>
      <c r="C53" s="39"/>
      <c r="D53" s="39"/>
      <c r="E53" s="39"/>
      <c r="F53" s="39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 customHeight="1">
      <c r="A54" s="1"/>
      <c r="B54" s="39"/>
      <c r="C54" s="40"/>
      <c r="D54" s="40"/>
      <c r="E54" s="39"/>
      <c r="F54" s="39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5.75" customHeight="1">
      <c r="A55" s="1"/>
      <c r="B55" s="41" t="s">
        <v>25</v>
      </c>
      <c r="C55" s="39"/>
      <c r="D55" s="41"/>
      <c r="E55" s="41"/>
      <c r="F55" s="39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5.75" customHeight="1">
      <c r="A56" s="1"/>
      <c r="B56" s="39" t="s">
        <v>26</v>
      </c>
      <c r="C56" s="39"/>
      <c r="D56" s="41"/>
      <c r="E56" s="39"/>
      <c r="F56" s="39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5.75" customHeight="1">
      <c r="A57" s="1"/>
      <c r="B57" s="39"/>
      <c r="C57" s="39"/>
      <c r="D57" s="39"/>
      <c r="E57" s="39"/>
      <c r="F57" s="39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5.75" customHeight="1">
      <c r="A58" s="1"/>
      <c r="B58" s="39" t="s">
        <v>27</v>
      </c>
      <c r="C58" s="39"/>
      <c r="D58" s="39"/>
      <c r="E58" s="39"/>
      <c r="F58" s="39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5.75" customHeight="1">
      <c r="A59" s="1"/>
      <c r="B59" s="39"/>
      <c r="C59" s="39"/>
      <c r="D59" s="41"/>
      <c r="E59" s="42"/>
      <c r="F59" s="39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5.75" customHeight="1">
      <c r="A60" s="1"/>
      <c r="B60" s="41"/>
      <c r="C60" s="45" t="s">
        <v>28</v>
      </c>
      <c r="D60" s="45" t="s">
        <v>29</v>
      </c>
      <c r="E60" s="44"/>
      <c r="F60" s="39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5.75" customHeight="1">
      <c r="A61" s="1"/>
      <c r="B61" s="39"/>
      <c r="C61" s="43" t="s">
        <v>30</v>
      </c>
      <c r="D61" s="39" t="s">
        <v>31</v>
      </c>
      <c r="E61" s="44"/>
      <c r="F61" s="39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5.75" customHeight="1">
      <c r="A62" s="1"/>
      <c r="B62" s="1"/>
      <c r="C62" s="43" t="s">
        <v>32</v>
      </c>
      <c r="D62" s="39" t="s">
        <v>33</v>
      </c>
      <c r="E62" s="44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5.7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5.7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5.7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5.7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5.7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5.7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5.7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5.7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5.7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5.7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5.7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5.7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5.7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5.7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5.7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5.7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5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5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5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5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5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5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  <row r="1001" spans="1:26" ht="15.75" customHeight="1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</row>
  </sheetData>
  <mergeCells count="7">
    <mergeCell ref="A7:C7"/>
    <mergeCell ref="A8:C8"/>
    <mergeCell ref="A1:E1"/>
    <mergeCell ref="A2:E2"/>
    <mergeCell ref="A4:E4"/>
    <mergeCell ref="A5:E5"/>
    <mergeCell ref="A6:E6"/>
  </mergeCells>
  <pageMargins left="0.7" right="0.7" top="0.75" bottom="0.75" header="0" footer="0"/>
  <pageSetup paperSize="9" scale="77" orientation="portrait" r:id="rId1"/>
  <rowBreaks count="1" manualBreakCount="1">
    <brk id="62" max="4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00"/>
  <sheetViews>
    <sheetView topLeftCell="A40" zoomScaleNormal="100" workbookViewId="0">
      <selection activeCell="D45" sqref="D45"/>
    </sheetView>
  </sheetViews>
  <sheetFormatPr defaultColWidth="14.44140625" defaultRowHeight="15" customHeight="1"/>
  <cols>
    <col min="1" max="2" width="6.33203125" customWidth="1"/>
    <col min="3" max="3" width="47.5546875" customWidth="1"/>
    <col min="4" max="5" width="15.109375" customWidth="1"/>
    <col min="6" max="26" width="8.6640625" customWidth="1"/>
  </cols>
  <sheetData>
    <row r="1" spans="1:26" ht="20.399999999999999">
      <c r="A1" s="131" t="s">
        <v>0</v>
      </c>
      <c r="B1" s="132"/>
      <c r="C1" s="132"/>
      <c r="D1" s="132"/>
      <c r="E1" s="132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4.4">
      <c r="A2" s="120" t="s">
        <v>1</v>
      </c>
      <c r="B2" s="132"/>
      <c r="C2" s="132"/>
      <c r="D2" s="132"/>
      <c r="E2" s="132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4.4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7.399999999999999">
      <c r="A4" s="122" t="s">
        <v>2</v>
      </c>
      <c r="B4" s="132"/>
      <c r="C4" s="132"/>
      <c r="D4" s="132"/>
      <c r="E4" s="132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4.4">
      <c r="A5" s="123" t="s">
        <v>3</v>
      </c>
      <c r="B5" s="132"/>
      <c r="C5" s="132"/>
      <c r="D5" s="132"/>
      <c r="E5" s="132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thickBot="1">
      <c r="A6" s="134" t="s">
        <v>4</v>
      </c>
      <c r="B6" s="135"/>
      <c r="C6" s="135"/>
      <c r="D6" s="135"/>
      <c r="E6" s="136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" customHeight="1" thickBot="1">
      <c r="A7" s="125"/>
      <c r="B7" s="126"/>
      <c r="C7" s="127"/>
      <c r="D7" s="86" t="s">
        <v>34</v>
      </c>
      <c r="E7" s="102" t="s">
        <v>35</v>
      </c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4.25" customHeight="1">
      <c r="A8" s="128"/>
      <c r="B8" s="129"/>
      <c r="C8" s="130"/>
      <c r="D8" s="106"/>
      <c r="E8" s="4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4.4">
      <c r="A9" s="88"/>
      <c r="B9" s="48"/>
      <c r="C9" s="7"/>
      <c r="D9" s="107"/>
      <c r="E9" s="4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4.4">
      <c r="A10" s="88"/>
      <c r="B10" s="48" t="s">
        <v>74</v>
      </c>
      <c r="C10" s="7"/>
      <c r="D10" s="107"/>
      <c r="E10" s="4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4.4">
      <c r="A11" s="88"/>
      <c r="B11" s="48"/>
      <c r="C11" s="7" t="s">
        <v>52</v>
      </c>
      <c r="D11" s="107">
        <v>0</v>
      </c>
      <c r="E11" s="4">
        <v>0</v>
      </c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4.4">
      <c r="A12" s="88"/>
      <c r="B12" s="48"/>
      <c r="C12" s="7" t="s">
        <v>53</v>
      </c>
      <c r="D12" s="107">
        <v>0</v>
      </c>
      <c r="E12" s="4">
        <v>0</v>
      </c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4.4">
      <c r="A13" s="88"/>
      <c r="B13" s="48"/>
      <c r="C13" s="7" t="s">
        <v>54</v>
      </c>
      <c r="D13" s="107">
        <v>0</v>
      </c>
      <c r="E13" s="4">
        <v>0</v>
      </c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4.4">
      <c r="A14" s="88"/>
      <c r="B14" s="48"/>
      <c r="C14" s="7" t="s">
        <v>55</v>
      </c>
      <c r="D14" s="107">
        <v>0</v>
      </c>
      <c r="E14" s="4">
        <v>0</v>
      </c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4.4">
      <c r="A15" s="88"/>
      <c r="B15" s="48"/>
      <c r="C15" s="7" t="s">
        <v>9</v>
      </c>
      <c r="D15" s="107">
        <v>0</v>
      </c>
      <c r="E15" s="4">
        <v>0</v>
      </c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4.4">
      <c r="A16" s="88"/>
      <c r="B16" s="48"/>
      <c r="C16" s="7" t="s">
        <v>56</v>
      </c>
      <c r="D16" s="107">
        <v>0</v>
      </c>
      <c r="E16" s="4">
        <v>0</v>
      </c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4.4">
      <c r="A17" s="88"/>
      <c r="B17" s="48"/>
      <c r="C17" s="7" t="s">
        <v>57</v>
      </c>
      <c r="D17" s="107">
        <v>0</v>
      </c>
      <c r="E17" s="4">
        <v>0</v>
      </c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4.4">
      <c r="A18" s="88"/>
      <c r="B18" s="48"/>
      <c r="C18" s="7" t="s">
        <v>58</v>
      </c>
      <c r="D18" s="107">
        <v>0</v>
      </c>
      <c r="E18" s="4">
        <v>0</v>
      </c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4.4">
      <c r="A19" s="88"/>
      <c r="B19" s="48"/>
      <c r="C19" s="7" t="s">
        <v>72</v>
      </c>
      <c r="D19" s="107">
        <v>0</v>
      </c>
      <c r="E19" s="4">
        <v>0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4.4">
      <c r="A20" s="88"/>
      <c r="B20" s="48"/>
      <c r="C20" s="7" t="s">
        <v>59</v>
      </c>
      <c r="D20" s="107">
        <v>0</v>
      </c>
      <c r="E20" s="4">
        <v>0</v>
      </c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5.75" customHeight="1">
      <c r="A21" s="88"/>
      <c r="B21" s="48"/>
      <c r="C21" s="7" t="s">
        <v>61</v>
      </c>
      <c r="D21" s="107">
        <v>0</v>
      </c>
      <c r="E21" s="4">
        <v>0</v>
      </c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5.75" customHeight="1">
      <c r="A22" s="88"/>
      <c r="B22" s="48"/>
      <c r="C22" s="7" t="s">
        <v>62</v>
      </c>
      <c r="D22" s="107">
        <v>0</v>
      </c>
      <c r="E22" s="4">
        <v>0</v>
      </c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5.75" customHeight="1">
      <c r="A23" s="88"/>
      <c r="B23" s="48"/>
      <c r="C23" s="7" t="s">
        <v>63</v>
      </c>
      <c r="D23" s="107">
        <v>0</v>
      </c>
      <c r="E23" s="4">
        <v>0</v>
      </c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5.75" customHeight="1">
      <c r="A24" s="88"/>
      <c r="B24" s="48"/>
      <c r="C24" s="7" t="s">
        <v>75</v>
      </c>
      <c r="D24" s="107">
        <v>0</v>
      </c>
      <c r="E24" s="4">
        <v>0</v>
      </c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5.75" customHeight="1">
      <c r="A25" s="88"/>
      <c r="B25" s="48"/>
      <c r="C25" s="7" t="s">
        <v>64</v>
      </c>
      <c r="D25" s="107">
        <v>0</v>
      </c>
      <c r="E25" s="4">
        <v>0</v>
      </c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5.75" customHeight="1">
      <c r="A26" s="88"/>
      <c r="B26" s="48"/>
      <c r="C26" s="7" t="s">
        <v>76</v>
      </c>
      <c r="D26" s="107">
        <v>0</v>
      </c>
      <c r="E26" s="4">
        <v>0</v>
      </c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5.75" customHeight="1">
      <c r="A27" s="88"/>
      <c r="B27" s="48"/>
      <c r="C27" s="7" t="s">
        <v>77</v>
      </c>
      <c r="D27" s="107">
        <v>0</v>
      </c>
      <c r="E27" s="4">
        <v>0</v>
      </c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5.75" customHeight="1">
      <c r="A28" s="88"/>
      <c r="B28" s="48"/>
      <c r="C28" s="7" t="s">
        <v>71</v>
      </c>
      <c r="D28" s="107">
        <v>0</v>
      </c>
      <c r="E28" s="4">
        <v>0</v>
      </c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5.75" customHeight="1">
      <c r="A29" s="88"/>
      <c r="B29" s="48"/>
      <c r="C29" s="7" t="s">
        <v>78</v>
      </c>
      <c r="D29" s="107">
        <v>0</v>
      </c>
      <c r="E29" s="4">
        <v>0</v>
      </c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5.75" customHeight="1" thickBot="1">
      <c r="A30" s="88"/>
      <c r="B30" s="48"/>
      <c r="C30" s="7" t="s">
        <v>68</v>
      </c>
      <c r="D30" s="107">
        <v>0</v>
      </c>
      <c r="E30" s="4">
        <v>0</v>
      </c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5.75" customHeight="1" thickBot="1">
      <c r="A31" s="108"/>
      <c r="B31" s="48" t="s">
        <v>79</v>
      </c>
      <c r="C31" s="18"/>
      <c r="D31" s="109">
        <f t="shared" ref="D31:E31" si="0">SUM(D11:D30)</f>
        <v>0</v>
      </c>
      <c r="E31" s="103">
        <f t="shared" si="0"/>
        <v>0</v>
      </c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5.75" customHeight="1" thickBot="1">
      <c r="A32" s="110"/>
      <c r="B32" s="20" t="s">
        <v>80</v>
      </c>
      <c r="C32" s="21"/>
      <c r="D32" s="111">
        <f>-'so1'!D51-'so2'!D31</f>
        <v>0</v>
      </c>
      <c r="E32" s="104">
        <f>-'so1'!E51-'so2'!E31</f>
        <v>-145181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75" customHeight="1" thickBot="1">
      <c r="A33" s="112" t="s">
        <v>81</v>
      </c>
      <c r="B33" s="113"/>
      <c r="C33" s="114"/>
      <c r="D33" s="115">
        <f>SUM('so1'!D24+'so2'!D32)</f>
        <v>0</v>
      </c>
      <c r="E33" s="105">
        <f>SUM('so1'!E24+'so2'!E32)</f>
        <v>134759</v>
      </c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7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75" customHeight="1">
      <c r="A35" s="1"/>
      <c r="B35" s="39" t="s">
        <v>24</v>
      </c>
      <c r="C35" s="39"/>
      <c r="D35" s="39"/>
      <c r="E35" s="44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75" customHeight="1">
      <c r="A36" s="1"/>
      <c r="B36" s="39"/>
      <c r="C36" s="40"/>
      <c r="D36" s="40"/>
      <c r="E36" s="44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.75" customHeight="1">
      <c r="A37" s="1"/>
      <c r="B37" s="41" t="s">
        <v>25</v>
      </c>
      <c r="C37" s="39"/>
      <c r="D37" s="41"/>
      <c r="E37" s="44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5.75" customHeight="1">
      <c r="A38" s="1"/>
      <c r="B38" s="39" t="s">
        <v>26</v>
      </c>
      <c r="C38" s="39"/>
      <c r="D38" s="41"/>
      <c r="E38" s="44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5.75" customHeight="1">
      <c r="A39" s="1"/>
      <c r="B39" s="39"/>
      <c r="C39" s="39"/>
      <c r="D39" s="39"/>
      <c r="E39" s="44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.75" customHeight="1">
      <c r="A40" s="1"/>
      <c r="B40" s="39" t="s">
        <v>27</v>
      </c>
      <c r="C40" s="39"/>
      <c r="D40" s="39"/>
      <c r="E40" s="44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.75" customHeight="1">
      <c r="A41" s="1"/>
      <c r="B41" s="39"/>
      <c r="C41" s="39"/>
      <c r="D41" s="41"/>
      <c r="E41" s="44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5.75" customHeight="1">
      <c r="A42" s="1"/>
      <c r="B42" s="41"/>
      <c r="C42" s="45" t="s">
        <v>28</v>
      </c>
      <c r="D42" s="45" t="s">
        <v>29</v>
      </c>
      <c r="E42" s="44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 customHeight="1">
      <c r="A43" s="1"/>
      <c r="B43" s="39"/>
      <c r="C43" s="43" t="s">
        <v>30</v>
      </c>
      <c r="D43" s="39" t="s">
        <v>31</v>
      </c>
      <c r="E43" s="44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 customHeight="1">
      <c r="A44" s="1"/>
      <c r="B44" s="1"/>
      <c r="C44" s="43" t="s">
        <v>32</v>
      </c>
      <c r="D44" s="39" t="s">
        <v>33</v>
      </c>
      <c r="E44" s="44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 customHeight="1">
      <c r="A45" s="1"/>
      <c r="B45" s="44"/>
      <c r="C45" s="44"/>
      <c r="D45" s="44"/>
      <c r="E45" s="44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 customHeight="1">
      <c r="A46" s="1"/>
      <c r="B46" s="44"/>
      <c r="C46" s="44"/>
      <c r="D46" s="44"/>
      <c r="E46" s="44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>
      <c r="A47" s="1"/>
      <c r="B47" s="44"/>
      <c r="C47" s="44"/>
      <c r="D47" s="44"/>
      <c r="E47" s="44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5.75" customHeight="1">
      <c r="A48" s="1"/>
      <c r="B48" s="44"/>
      <c r="C48" s="44"/>
      <c r="D48" s="44"/>
      <c r="E48" s="44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 customHeight="1">
      <c r="A49" s="1"/>
      <c r="B49" s="44"/>
      <c r="C49" s="44"/>
      <c r="D49" s="44"/>
      <c r="E49" s="44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 customHeight="1">
      <c r="A50" s="1"/>
      <c r="B50" s="44"/>
      <c r="C50" s="44"/>
      <c r="D50" s="44"/>
      <c r="E50" s="44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 customHeight="1">
      <c r="A51" s="1"/>
      <c r="B51" s="44"/>
      <c r="C51" s="44"/>
      <c r="D51" s="44"/>
      <c r="E51" s="44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5.7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5.7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5.7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5.7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5.7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5.7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5.7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5.7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5.7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5.7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5.7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5.7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5.7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5.7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5.7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5.7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5.7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5.7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5.7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5.7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5.7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5.7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5.7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5.7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5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5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5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5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5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5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7">
    <mergeCell ref="A7:C7"/>
    <mergeCell ref="A8:C8"/>
    <mergeCell ref="A1:E1"/>
    <mergeCell ref="A2:E2"/>
    <mergeCell ref="A4:E4"/>
    <mergeCell ref="A5:E5"/>
    <mergeCell ref="A6:E6"/>
  </mergeCells>
  <pageMargins left="0.7" right="0.7" top="0.75" bottom="0.75" header="0" footer="0"/>
  <pageSetup paperSize="9" scale="95" orientation="portrait" r:id="rId1"/>
  <rowBreaks count="1" manualBreakCount="1">
    <brk id="51" max="4" man="1"/>
  </row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996"/>
  <sheetViews>
    <sheetView topLeftCell="A22" zoomScaleNormal="100" workbookViewId="0">
      <selection activeCell="B31" sqref="B31:B38"/>
    </sheetView>
  </sheetViews>
  <sheetFormatPr defaultColWidth="14.44140625" defaultRowHeight="15" customHeight="1"/>
  <cols>
    <col min="1" max="1" width="3.88671875" customWidth="1"/>
    <col min="2" max="2" width="42.44140625" customWidth="1"/>
    <col min="3" max="3" width="7.109375" customWidth="1"/>
    <col min="4" max="5" width="15.109375" customWidth="1"/>
    <col min="6" max="26" width="8.6640625" customWidth="1"/>
  </cols>
  <sheetData>
    <row r="1" spans="1:26" ht="20.399999999999999">
      <c r="A1" s="131" t="s">
        <v>0</v>
      </c>
      <c r="B1" s="132"/>
      <c r="C1" s="132"/>
      <c r="D1" s="132"/>
      <c r="E1" s="132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4.4">
      <c r="A2" s="120" t="s">
        <v>1</v>
      </c>
      <c r="B2" s="132"/>
      <c r="C2" s="132"/>
      <c r="D2" s="132"/>
      <c r="E2" s="132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4.4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7.399999999999999">
      <c r="A4" s="122" t="s">
        <v>2</v>
      </c>
      <c r="B4" s="132"/>
      <c r="C4" s="132"/>
      <c r="D4" s="132"/>
      <c r="E4" s="132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4.4">
      <c r="A5" s="123" t="s">
        <v>3</v>
      </c>
      <c r="B5" s="132"/>
      <c r="C5" s="132"/>
      <c r="D5" s="132"/>
      <c r="E5" s="132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4.4">
      <c r="A6" s="141" t="s">
        <v>4</v>
      </c>
      <c r="B6" s="136"/>
      <c r="C6" s="136"/>
      <c r="D6" s="136"/>
      <c r="E6" s="136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" customHeight="1">
      <c r="A7" s="137"/>
      <c r="B7" s="138"/>
      <c r="C7" s="139"/>
      <c r="D7" s="2" t="s">
        <v>34</v>
      </c>
      <c r="E7" s="2" t="s">
        <v>35</v>
      </c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4.25" customHeight="1">
      <c r="A8" s="140"/>
      <c r="B8" s="129"/>
      <c r="C8" s="130"/>
      <c r="D8" s="3"/>
      <c r="E8" s="4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4.25" customHeight="1">
      <c r="A9" s="22"/>
      <c r="B9" s="23" t="s">
        <v>82</v>
      </c>
      <c r="C9" s="24"/>
      <c r="D9" s="8"/>
      <c r="E9" s="4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4.25" customHeight="1">
      <c r="A10" s="22"/>
      <c r="B10" s="117"/>
      <c r="C10" s="24"/>
      <c r="D10" s="8"/>
      <c r="E10" s="4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4.4">
      <c r="A11" s="5"/>
      <c r="B11" s="1" t="s">
        <v>83</v>
      </c>
      <c r="C11" s="7"/>
      <c r="D11" s="8"/>
      <c r="E11" s="4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4.4">
      <c r="A12" s="5"/>
      <c r="B12" s="1" t="s">
        <v>84</v>
      </c>
      <c r="C12" s="25">
        <v>0.35</v>
      </c>
      <c r="D12" s="8">
        <f>'so2'!D33*net_income!C12</f>
        <v>0</v>
      </c>
      <c r="E12" s="8">
        <f>'so2'!E33*net_income!C12</f>
        <v>47165.649999999994</v>
      </c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4.4">
      <c r="A13" s="5"/>
      <c r="B13" s="1" t="s">
        <v>85</v>
      </c>
      <c r="C13" s="25">
        <v>0.05</v>
      </c>
      <c r="D13" s="8">
        <f>'so2'!D33*net_income!C13</f>
        <v>0</v>
      </c>
      <c r="E13" s="8">
        <f>'so2'!E33*net_income!C13</f>
        <v>6737.9500000000007</v>
      </c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4.4">
      <c r="A14" s="5"/>
      <c r="B14" s="1" t="s">
        <v>86</v>
      </c>
      <c r="C14" s="25">
        <v>0.15</v>
      </c>
      <c r="D14" s="8">
        <f>'so2'!D33*net_income!C14</f>
        <v>0</v>
      </c>
      <c r="E14" s="8">
        <f>'so2'!E33*net_income!C14</f>
        <v>20213.849999999999</v>
      </c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4.4">
      <c r="A15" s="5"/>
      <c r="B15" s="1" t="s">
        <v>87</v>
      </c>
      <c r="C15" s="25">
        <v>0.1</v>
      </c>
      <c r="D15" s="8">
        <f>'so2'!D33*net_income!C15</f>
        <v>0</v>
      </c>
      <c r="E15" s="8">
        <f>'so2'!E33*net_income!C15</f>
        <v>13475.900000000001</v>
      </c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4.4">
      <c r="A16" s="5"/>
      <c r="B16" s="1" t="s">
        <v>88</v>
      </c>
      <c r="C16" s="25">
        <v>0.25</v>
      </c>
      <c r="D16" s="8">
        <f>'so2'!D33*net_income!C16</f>
        <v>0</v>
      </c>
      <c r="E16" s="8">
        <f>'so2'!E33*net_income!C16</f>
        <v>33689.75</v>
      </c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4.4">
      <c r="A17" s="5"/>
      <c r="B17" s="1" t="s">
        <v>89</v>
      </c>
      <c r="C17" s="25">
        <v>0.1</v>
      </c>
      <c r="D17" s="8">
        <f>'so2'!D33*net_income!C17</f>
        <v>0</v>
      </c>
      <c r="E17" s="8">
        <f>'so2'!E33*net_income!C17</f>
        <v>13475.900000000001</v>
      </c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4.4">
      <c r="A18" s="26"/>
      <c r="B18" s="15"/>
      <c r="C18" s="16"/>
      <c r="D18" s="10"/>
      <c r="E18" s="1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4.4">
      <c r="A19" s="17"/>
      <c r="B19" s="27" t="s">
        <v>90</v>
      </c>
      <c r="C19" s="28">
        <v>1</v>
      </c>
      <c r="D19" s="29">
        <f>SUM(D12:D17)</f>
        <v>0</v>
      </c>
      <c r="E19" s="30">
        <f>SUM(E12:E18)</f>
        <v>134758.99999999997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4.4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5.75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5.75" customHeight="1">
      <c r="A22" s="1"/>
      <c r="B22" s="44" t="s">
        <v>24</v>
      </c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5.75" customHeight="1">
      <c r="A23" s="1"/>
      <c r="B23" s="44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5.75" customHeight="1">
      <c r="A24" s="1"/>
      <c r="B24" s="45" t="s">
        <v>25</v>
      </c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5.75" customHeight="1">
      <c r="A25" s="1"/>
      <c r="B25" s="44" t="s">
        <v>26</v>
      </c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5.75" customHeight="1">
      <c r="A26" s="1"/>
      <c r="B26" s="44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5.75" customHeight="1">
      <c r="A27" s="1"/>
      <c r="B27" s="44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5.75" customHeight="1">
      <c r="A28" s="1"/>
      <c r="B28" s="44" t="s">
        <v>27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5.75" customHeight="1">
      <c r="A29" s="1"/>
      <c r="B29" s="44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5.75" customHeight="1">
      <c r="A30" s="1"/>
      <c r="B30" s="44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5.75" customHeight="1">
      <c r="A31" s="1"/>
      <c r="B31" s="44" t="s">
        <v>28</v>
      </c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5.75" customHeight="1">
      <c r="A32" s="1"/>
      <c r="B32" s="44" t="s">
        <v>30</v>
      </c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75" customHeight="1">
      <c r="A33" s="1"/>
      <c r="B33" s="44" t="s">
        <v>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75" customHeight="1">
      <c r="A34" s="1"/>
      <c r="B34" s="44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75" customHeight="1">
      <c r="A35" s="1"/>
      <c r="B35" s="44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75" customHeight="1">
      <c r="A36" s="1"/>
      <c r="B36" s="44" t="s">
        <v>29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.75" customHeight="1">
      <c r="A37" s="1"/>
      <c r="B37" s="44" t="s">
        <v>31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5.75" customHeight="1">
      <c r="A38" s="1"/>
      <c r="B38" s="44" t="s">
        <v>33</v>
      </c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5.75" customHeight="1">
      <c r="A39" s="1"/>
      <c r="B39" s="44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.7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.75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5.7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5.7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5.7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5.7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5.7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5.7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5.7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5.7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5.7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5.7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5.7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5.7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5.7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5.7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5.7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5.7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5.7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5.7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5.7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5.7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5.7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5.7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5.7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5.7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5.7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5.7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5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5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5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5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5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5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</sheetData>
  <mergeCells count="7">
    <mergeCell ref="A7:C7"/>
    <mergeCell ref="A8:C8"/>
    <mergeCell ref="A1:E1"/>
    <mergeCell ref="A2:E2"/>
    <mergeCell ref="A4:E4"/>
    <mergeCell ref="A5:E5"/>
    <mergeCell ref="A6:E6"/>
  </mergeCells>
  <pageMargins left="0.7" right="0.7" top="0.75" bottom="0.75" header="0" footer="0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998"/>
  <sheetViews>
    <sheetView zoomScaleNormal="100" zoomScaleSheetLayoutView="90" workbookViewId="0">
      <selection activeCell="C50" sqref="C50"/>
    </sheetView>
  </sheetViews>
  <sheetFormatPr defaultColWidth="14.44140625" defaultRowHeight="15" customHeight="1"/>
  <cols>
    <col min="1" max="2" width="6.33203125" customWidth="1"/>
    <col min="3" max="3" width="47.5546875" customWidth="1"/>
    <col min="4" max="5" width="15.109375" customWidth="1"/>
    <col min="6" max="26" width="8.6640625" customWidth="1"/>
  </cols>
  <sheetData>
    <row r="1" spans="1:26" ht="20.399999999999999">
      <c r="A1" s="131" t="s">
        <v>0</v>
      </c>
      <c r="B1" s="132"/>
      <c r="C1" s="132"/>
      <c r="D1" s="132"/>
      <c r="E1" s="132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4.4">
      <c r="A2" s="120" t="s">
        <v>1</v>
      </c>
      <c r="B2" s="132"/>
      <c r="C2" s="132"/>
      <c r="D2" s="132"/>
      <c r="E2" s="132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4.4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7.399999999999999">
      <c r="A4" s="122" t="s">
        <v>91</v>
      </c>
      <c r="B4" s="132"/>
      <c r="C4" s="132"/>
      <c r="D4" s="132"/>
      <c r="E4" s="132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4.4">
      <c r="A5" s="123" t="s">
        <v>3</v>
      </c>
      <c r="B5" s="132"/>
      <c r="C5" s="132"/>
      <c r="D5" s="132"/>
      <c r="E5" s="132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4.4">
      <c r="A6" s="142" t="s">
        <v>4</v>
      </c>
      <c r="B6" s="143"/>
      <c r="C6" s="143"/>
      <c r="D6" s="143"/>
      <c r="E6" s="143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" customHeight="1">
      <c r="A7" s="137"/>
      <c r="B7" s="138"/>
      <c r="C7" s="139"/>
      <c r="D7" s="2" t="s">
        <v>34</v>
      </c>
      <c r="E7" s="2" t="s">
        <v>35</v>
      </c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4.25" customHeight="1">
      <c r="A8" s="140"/>
      <c r="B8" s="129"/>
      <c r="C8" s="130"/>
      <c r="D8" s="3"/>
      <c r="E8" s="4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4.4">
      <c r="A9" s="5" t="s">
        <v>92</v>
      </c>
      <c r="B9" s="6"/>
      <c r="C9" s="7"/>
      <c r="D9" s="8"/>
      <c r="E9" s="4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4.4">
      <c r="A10" s="5"/>
      <c r="B10" s="1" t="s">
        <v>93</v>
      </c>
      <c r="C10" s="7"/>
      <c r="D10" s="8">
        <f>net_income!D19</f>
        <v>0</v>
      </c>
      <c r="E10" s="4">
        <v>0</v>
      </c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4.4">
      <c r="A11" s="5"/>
      <c r="B11" s="1" t="s">
        <v>94</v>
      </c>
      <c r="C11" s="7"/>
      <c r="D11" s="8">
        <v>0</v>
      </c>
      <c r="E11" s="4">
        <v>0</v>
      </c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4.4">
      <c r="A12" s="5"/>
      <c r="B12" s="1" t="s">
        <v>46</v>
      </c>
      <c r="C12" s="7"/>
      <c r="D12" s="8">
        <v>0</v>
      </c>
      <c r="E12" s="4">
        <v>0</v>
      </c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4.4">
      <c r="A13" s="5"/>
      <c r="B13" s="1" t="s">
        <v>95</v>
      </c>
      <c r="C13" s="7"/>
      <c r="D13" s="31">
        <v>0</v>
      </c>
      <c r="E13" s="4">
        <v>0</v>
      </c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4.4">
      <c r="A14" s="5"/>
      <c r="B14" s="1" t="s">
        <v>96</v>
      </c>
      <c r="C14" s="7"/>
      <c r="D14" s="8">
        <v>0</v>
      </c>
      <c r="E14" s="4">
        <v>0</v>
      </c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4.4">
      <c r="A15" s="5"/>
      <c r="B15" s="1" t="s">
        <v>97</v>
      </c>
      <c r="C15" s="7"/>
      <c r="D15" s="32">
        <v>0</v>
      </c>
      <c r="E15" s="32">
        <v>0</v>
      </c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4.4">
      <c r="A16" s="33" t="s">
        <v>98</v>
      </c>
      <c r="B16" s="34"/>
      <c r="C16" s="35"/>
      <c r="D16" s="19">
        <f t="shared" ref="D16:E16" si="0">SUM(D10:D15)</f>
        <v>0</v>
      </c>
      <c r="E16" s="19">
        <f t="shared" si="0"/>
        <v>0</v>
      </c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4.4">
      <c r="A17" s="5"/>
      <c r="B17" s="6"/>
      <c r="C17" s="7"/>
      <c r="D17" s="8"/>
      <c r="E17" s="4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4.4">
      <c r="A18" s="5" t="s">
        <v>99</v>
      </c>
      <c r="B18" s="6"/>
      <c r="C18" s="7"/>
      <c r="D18" s="8"/>
      <c r="E18" s="4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4.4">
      <c r="A19" s="5"/>
      <c r="B19" s="1" t="s">
        <v>100</v>
      </c>
      <c r="C19" s="7"/>
      <c r="D19" s="8">
        <v>0</v>
      </c>
      <c r="E19" s="4">
        <v>0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4.4">
      <c r="A20" s="5"/>
      <c r="B20" s="1" t="s">
        <v>101</v>
      </c>
      <c r="C20" s="7"/>
      <c r="D20" s="8">
        <v>0</v>
      </c>
      <c r="E20" s="4">
        <v>0</v>
      </c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5.75" customHeight="1">
      <c r="A21" s="5"/>
      <c r="B21" s="1" t="s">
        <v>102</v>
      </c>
      <c r="C21" s="7"/>
      <c r="D21" s="8">
        <v>0</v>
      </c>
      <c r="E21" s="4">
        <v>0</v>
      </c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5.75" customHeight="1">
      <c r="A22" s="5"/>
      <c r="B22" s="1" t="s">
        <v>103</v>
      </c>
      <c r="C22" s="7"/>
      <c r="D22" s="8">
        <v>0</v>
      </c>
      <c r="E22" s="4">
        <v>0</v>
      </c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5.75" customHeight="1">
      <c r="A23" s="5"/>
      <c r="B23" s="6" t="s">
        <v>104</v>
      </c>
      <c r="C23" s="7"/>
      <c r="D23" s="36">
        <f t="shared" ref="D23:E23" si="1">SUM(D19:D22)</f>
        <v>0</v>
      </c>
      <c r="E23" s="37">
        <f t="shared" si="1"/>
        <v>0</v>
      </c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5.75" customHeight="1">
      <c r="A24" s="5"/>
      <c r="B24" s="1"/>
      <c r="C24" s="7"/>
      <c r="D24" s="8"/>
      <c r="E24" s="4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5.75" customHeight="1">
      <c r="A25" s="5" t="s">
        <v>105</v>
      </c>
      <c r="B25" s="1"/>
      <c r="C25" s="7"/>
      <c r="D25" s="8"/>
      <c r="E25" s="4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5.75" customHeight="1">
      <c r="A26" s="5"/>
      <c r="B26" s="1" t="s">
        <v>106</v>
      </c>
      <c r="C26" s="7"/>
      <c r="D26" s="31">
        <v>0</v>
      </c>
      <c r="E26" s="4">
        <v>0</v>
      </c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5.75" customHeight="1">
      <c r="A27" s="5"/>
      <c r="B27" s="1" t="s">
        <v>107</v>
      </c>
      <c r="C27" s="7"/>
      <c r="D27" s="8">
        <f>'so2'!D33</f>
        <v>0</v>
      </c>
      <c r="E27" s="8">
        <f>'so2'!E33</f>
        <v>134759</v>
      </c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5.75" customHeight="1">
      <c r="A28" s="5"/>
      <c r="B28" s="6" t="s">
        <v>108</v>
      </c>
      <c r="C28" s="18"/>
      <c r="D28" s="3">
        <f t="shared" ref="D28:E28" si="2">SUM(D26:D27)</f>
        <v>0</v>
      </c>
      <c r="E28" s="38">
        <f t="shared" si="2"/>
        <v>134759</v>
      </c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5.75" customHeight="1">
      <c r="A29" s="33" t="s">
        <v>109</v>
      </c>
      <c r="B29" s="34"/>
      <c r="C29" s="35"/>
      <c r="D29" s="19">
        <f t="shared" ref="D29:E29" si="3">SUM(D23+D28)</f>
        <v>0</v>
      </c>
      <c r="E29" s="19">
        <f t="shared" si="3"/>
        <v>134759</v>
      </c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5.7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5.75" customHeight="1">
      <c r="A31" s="1"/>
      <c r="B31" s="44" t="s">
        <v>24</v>
      </c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5.75" customHeight="1">
      <c r="A32" s="1"/>
      <c r="B32" s="44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75" customHeight="1">
      <c r="A33" s="1"/>
      <c r="B33" s="45" t="s">
        <v>25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75" customHeight="1">
      <c r="A34" s="1"/>
      <c r="B34" s="44" t="s">
        <v>26</v>
      </c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75" customHeight="1">
      <c r="A35" s="1"/>
      <c r="B35" s="44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75" customHeight="1">
      <c r="A36" s="1"/>
      <c r="B36" s="44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.75" customHeight="1">
      <c r="A37" s="1"/>
      <c r="B37" s="44" t="s">
        <v>27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5.75" customHeight="1">
      <c r="A38" s="1"/>
      <c r="B38" s="44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5.75" customHeight="1">
      <c r="A39" s="1"/>
      <c r="B39" s="44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.75" customHeight="1">
      <c r="A40" s="1"/>
      <c r="B40" s="44" t="s">
        <v>28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.75" customHeight="1">
      <c r="A41" s="1"/>
      <c r="B41" s="44" t="s">
        <v>30</v>
      </c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5.75" customHeight="1">
      <c r="A42" s="1"/>
      <c r="B42" s="44" t="s">
        <v>32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 customHeight="1">
      <c r="A43" s="1"/>
      <c r="B43" s="44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 customHeight="1">
      <c r="A44" s="1"/>
      <c r="B44" s="44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 customHeight="1">
      <c r="A45" s="1"/>
      <c r="B45" s="44" t="s">
        <v>29</v>
      </c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 customHeight="1">
      <c r="A46" s="1"/>
      <c r="B46" s="44" t="s">
        <v>31</v>
      </c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>
      <c r="A47" s="1"/>
      <c r="B47" s="44" t="s">
        <v>33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5.75" customHeight="1">
      <c r="A48" s="1"/>
      <c r="B48" s="44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 customHeight="1">
      <c r="A49" s="1"/>
      <c r="B49" s="44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 customHeight="1">
      <c r="A50" s="1"/>
      <c r="B50" s="44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 customHeight="1">
      <c r="A51" s="1"/>
      <c r="B51" s="44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 customHeight="1">
      <c r="A52" s="1"/>
      <c r="B52" s="44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5.7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5.7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5.7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5.7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5.7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5.7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5.7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5.7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5.7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5.7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5.7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5.7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5.7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5.7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5.7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5.7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5.7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5.7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5.7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5.7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5.7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5.7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5.7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5.7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5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5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5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5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5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5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</sheetData>
  <mergeCells count="7">
    <mergeCell ref="A7:C7"/>
    <mergeCell ref="A8:C8"/>
    <mergeCell ref="A1:E1"/>
    <mergeCell ref="A2:E2"/>
    <mergeCell ref="A4:E4"/>
    <mergeCell ref="A5:E5"/>
    <mergeCell ref="A6:E6"/>
  </mergeCells>
  <pageMargins left="0.7" right="0.7" top="0.75" bottom="0.75" header="0" footer="0"/>
  <pageSetup paperSize="9" scale="92" orientation="portrait" r:id="rId1"/>
  <rowBreaks count="1" manualBreakCount="1">
    <brk id="51" max="4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5</vt:i4>
      </vt:variant>
    </vt:vector>
  </HeadingPairs>
  <TitlesOfParts>
    <vt:vector size="10" baseType="lpstr">
      <vt:lpstr>daily</vt:lpstr>
      <vt:lpstr>so1</vt:lpstr>
      <vt:lpstr>so2</vt:lpstr>
      <vt:lpstr>net_income</vt:lpstr>
      <vt:lpstr>financial</vt:lpstr>
      <vt:lpstr>daily!Print_Area</vt:lpstr>
      <vt:lpstr>financial!Print_Area</vt:lpstr>
      <vt:lpstr>net_income!Print_Area</vt:lpstr>
      <vt:lpstr>'so1'!Print_Area</vt:lpstr>
      <vt:lpstr>'so2'!Print_Area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jocelynlolitavillanueva955@gmail.com</dc:creator>
  <cp:keywords/>
  <dc:description/>
  <cp:lastModifiedBy>Admin</cp:lastModifiedBy>
  <cp:revision/>
  <dcterms:created xsi:type="dcterms:W3CDTF">2025-01-31T07:43:31Z</dcterms:created>
  <dcterms:modified xsi:type="dcterms:W3CDTF">2026-04-27T07:40:14Z</dcterms:modified>
  <cp:category/>
  <cp:contentStatus/>
</cp:coreProperties>
</file>