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7A950FA-58E5-4567-B08D-6D8F1162C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" sheetId="33" r:id="rId1"/>
    <sheet name="17" sheetId="32" r:id="rId2"/>
    <sheet name="18" sheetId="53" r:id="rId3"/>
    <sheet name="19" sheetId="56" r:id="rId4"/>
    <sheet name="20" sheetId="55" r:id="rId5"/>
    <sheet name="23" sheetId="54" r:id="rId6"/>
    <sheet name="24" sheetId="57" r:id="rId7"/>
    <sheet name="25" sheetId="42" r:id="rId8"/>
    <sheet name="26" sheetId="58" r:id="rId9"/>
    <sheet name="27" sheetId="59" r:id="rId10"/>
    <sheet name="30" sheetId="6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33" l="1"/>
  <c r="I42" i="33"/>
  <c r="I33" i="33"/>
  <c r="I32" i="33"/>
  <c r="I42" i="60"/>
  <c r="E36" i="60" s="1"/>
  <c r="E42" i="60" s="1"/>
  <c r="I32" i="60" s="1"/>
  <c r="I33" i="60" s="1"/>
  <c r="G45" i="60" s="1"/>
  <c r="G30" i="60"/>
  <c r="I21" i="60"/>
  <c r="I11" i="60"/>
  <c r="G44" i="60" s="1"/>
  <c r="G47" i="60" s="1"/>
  <c r="G44" i="59"/>
  <c r="I42" i="59"/>
  <c r="E36" i="59"/>
  <c r="E42" i="59" s="1"/>
  <c r="I32" i="59" s="1"/>
  <c r="G30" i="59"/>
  <c r="I21" i="59"/>
  <c r="I33" i="59" s="1"/>
  <c r="G45" i="59" s="1"/>
  <c r="I11" i="59"/>
  <c r="I42" i="58"/>
  <c r="E36" i="58"/>
  <c r="E42" i="58" s="1"/>
  <c r="I32" i="58" s="1"/>
  <c r="G30" i="58"/>
  <c r="I21" i="58"/>
  <c r="I11" i="58"/>
  <c r="G44" i="58" s="1"/>
  <c r="I42" i="42"/>
  <c r="E36" i="42"/>
  <c r="E42" i="42" s="1"/>
  <c r="I32" i="42" s="1"/>
  <c r="I33" i="42" s="1"/>
  <c r="G45" i="42" s="1"/>
  <c r="G30" i="42"/>
  <c r="I21" i="42"/>
  <c r="I11" i="42"/>
  <c r="G44" i="42" s="1"/>
  <c r="G47" i="42" s="1"/>
  <c r="I42" i="57"/>
  <c r="E36" i="57"/>
  <c r="E42" i="57" s="1"/>
  <c r="I32" i="57" s="1"/>
  <c r="I33" i="57" s="1"/>
  <c r="G45" i="57" s="1"/>
  <c r="G30" i="57"/>
  <c r="I21" i="57"/>
  <c r="I11" i="57"/>
  <c r="G44" i="57" s="1"/>
  <c r="I42" i="54"/>
  <c r="E36" i="54"/>
  <c r="E42" i="54" s="1"/>
  <c r="I32" i="54" s="1"/>
  <c r="G30" i="54"/>
  <c r="I21" i="54"/>
  <c r="I33" i="54" s="1"/>
  <c r="G45" i="54" s="1"/>
  <c r="I11" i="54"/>
  <c r="G44" i="54" s="1"/>
  <c r="I42" i="55"/>
  <c r="E42" i="55"/>
  <c r="E36" i="55"/>
  <c r="I32" i="55"/>
  <c r="G30" i="55"/>
  <c r="I21" i="55"/>
  <c r="I33" i="55" s="1"/>
  <c r="G45" i="55" s="1"/>
  <c r="I11" i="55"/>
  <c r="G44" i="55" s="1"/>
  <c r="G44" i="56"/>
  <c r="I42" i="56"/>
  <c r="E36" i="56"/>
  <c r="E42" i="56" s="1"/>
  <c r="I32" i="56" s="1"/>
  <c r="G30" i="56"/>
  <c r="I21" i="56"/>
  <c r="I33" i="56" s="1"/>
  <c r="G45" i="56" s="1"/>
  <c r="I11" i="56"/>
  <c r="G44" i="53"/>
  <c r="I42" i="53"/>
  <c r="E42" i="53"/>
  <c r="I32" i="53" s="1"/>
  <c r="E36" i="53"/>
  <c r="G30" i="53"/>
  <c r="I21" i="53"/>
  <c r="I11" i="53"/>
  <c r="I42" i="32"/>
  <c r="E42" i="32"/>
  <c r="I32" i="32" s="1"/>
  <c r="E36" i="32"/>
  <c r="G30" i="32"/>
  <c r="I21" i="32"/>
  <c r="I33" i="32" s="1"/>
  <c r="G45" i="32" s="1"/>
  <c r="I11" i="32"/>
  <c r="G44" i="32" s="1"/>
  <c r="G47" i="32" s="1"/>
  <c r="G44" i="33"/>
  <c r="G30" i="33"/>
  <c r="I21" i="33"/>
  <c r="I11" i="33"/>
  <c r="G47" i="59" l="1"/>
  <c r="G47" i="54"/>
  <c r="G47" i="56"/>
  <c r="I33" i="58"/>
  <c r="G45" i="58" s="1"/>
  <c r="G47" i="58" s="1"/>
  <c r="G45" i="33"/>
  <c r="G47" i="33" s="1"/>
  <c r="I33" i="53"/>
  <c r="G45" i="53" s="1"/>
  <c r="G47" i="53" s="1"/>
  <c r="G47" i="55"/>
  <c r="G47" i="57"/>
</calcChain>
</file>

<file path=xl/sharedStrings.xml><?xml version="1.0" encoding="utf-8"?>
<sst xmlns="http://schemas.openxmlformats.org/spreadsheetml/2006/main" count="729" uniqueCount="62">
  <si>
    <t>RECTO MEMORIAL NATIONAL HIGH SCHOOL</t>
  </si>
  <si>
    <t>DAILY CANTEEN REPORT OF CANTEEN OPERATION</t>
  </si>
  <si>
    <t>CASH SALES</t>
  </si>
  <si>
    <t>STORE</t>
  </si>
  <si>
    <t>₽</t>
  </si>
  <si>
    <t>KITCHEN</t>
  </si>
  <si>
    <t>PALAMIG</t>
  </si>
  <si>
    <t>SCHOOL SUPPLIES</t>
  </si>
  <si>
    <t>LESS PURCHASES:</t>
  </si>
  <si>
    <t>CASH PURCHASES</t>
  </si>
  <si>
    <t>I.</t>
  </si>
  <si>
    <t>BIG BOY</t>
  </si>
  <si>
    <t xml:space="preserve">AQUA </t>
  </si>
  <si>
    <t>OTHERS</t>
  </si>
  <si>
    <t>II.</t>
  </si>
  <si>
    <t>III.</t>
  </si>
  <si>
    <t>IV.</t>
  </si>
  <si>
    <t>CONSIGNMENT TO SUPPLIER (PAYABLES)</t>
  </si>
  <si>
    <t>Payable to Supplier</t>
  </si>
  <si>
    <t>LESS: OPERATING EXPENSES</t>
  </si>
  <si>
    <t>Sumary of Operating Expenses</t>
  </si>
  <si>
    <t>Salary Breakdown</t>
  </si>
  <si>
    <t>AMOUNT</t>
  </si>
  <si>
    <t>SALARY OF HELPERS</t>
  </si>
  <si>
    <t>1. Christina</t>
  </si>
  <si>
    <t>UTILITY EXPENSES</t>
  </si>
  <si>
    <t>2. Myra</t>
  </si>
  <si>
    <t>SSS OF HELPERS</t>
  </si>
  <si>
    <t>3. Susan</t>
  </si>
  <si>
    <t>LPG</t>
  </si>
  <si>
    <t>4. Rona</t>
  </si>
  <si>
    <t>5. Ruth</t>
  </si>
  <si>
    <t>6. Remie</t>
  </si>
  <si>
    <t>TOTAL EXPENSES</t>
  </si>
  <si>
    <t>TOTAL</t>
  </si>
  <si>
    <t>TOTAL SALES</t>
  </si>
  <si>
    <t>(PURCHASES,EXPENSES, CONSIGNMENT)</t>
  </si>
  <si>
    <t>NET PROFIT(LOSS)</t>
  </si>
  <si>
    <t/>
  </si>
  <si>
    <t>PREPARED BY:</t>
  </si>
  <si>
    <t>JASMIN M. DIMAUNAHAN</t>
  </si>
  <si>
    <t>SSHT- I, TLE Dept.</t>
  </si>
  <si>
    <t>AUDITED BY:</t>
  </si>
  <si>
    <t>ODESSA B. MANGUIAT</t>
  </si>
  <si>
    <t>SHILLEM L. MITRA</t>
  </si>
  <si>
    <t>CHAIRMAN</t>
  </si>
  <si>
    <t>MEMBER</t>
  </si>
  <si>
    <t>CANTEEN #1</t>
  </si>
  <si>
    <t>06/17/2025</t>
  </si>
  <si>
    <t>06/18/2025</t>
  </si>
  <si>
    <t>06/19/2025</t>
  </si>
  <si>
    <t>Mani</t>
  </si>
  <si>
    <t>06/20/2025</t>
  </si>
  <si>
    <t>2. Babylyn</t>
  </si>
  <si>
    <t>3. Irene</t>
  </si>
  <si>
    <t>4. Susan</t>
  </si>
  <si>
    <t>06/23/2025</t>
  </si>
  <si>
    <t>06/24/2025</t>
  </si>
  <si>
    <t>06/25/2025</t>
  </si>
  <si>
    <t>06/26/2025</t>
  </si>
  <si>
    <t>06/27/2025</t>
  </si>
  <si>
    <t>06/30/2025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</si>
</sst>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₱&quot;#,##0.00;\-&quot;₱&quot;#,##0.00"/>
    <numFmt numFmtId="43" formatCode="_-* #,##0.00_-;\-* #,##0.00_-;_-* &quot;-&quot;??_-;_-@_-"/>
    <numFmt numFmtId="164" formatCode="&quot;₱&quot;#,##0.00"/>
    <numFmt numFmtId="165" formatCode="m/d/yy;@"/>
  </numFmts>
  <fonts count="1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u val="singleAccounting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43" fontId="6" fillId="0" borderId="0" xfId="0" applyNumberFormat="1" applyFont="1"/>
    <xf numFmtId="43" fontId="7" fillId="0" borderId="1" xfId="0" applyNumberFormat="1" applyFont="1" applyBorder="1"/>
    <xf numFmtId="43" fontId="7" fillId="0" borderId="2" xfId="0" applyNumberFormat="1" applyFont="1" applyBorder="1"/>
    <xf numFmtId="43" fontId="7" fillId="0" borderId="0" xfId="0" applyNumberFormat="1" applyFont="1"/>
    <xf numFmtId="7" fontId="8" fillId="0" borderId="3" xfId="0" applyNumberFormat="1" applyFont="1" applyBorder="1"/>
    <xf numFmtId="0" fontId="6" fillId="0" borderId="0" xfId="0" applyFont="1" applyAlignment="1">
      <alignment horizontal="left"/>
    </xf>
    <xf numFmtId="0" fontId="7" fillId="0" borderId="0" xfId="0" applyFont="1"/>
    <xf numFmtId="43" fontId="6" fillId="0" borderId="1" xfId="0" applyNumberFormat="1" applyFont="1" applyBorder="1"/>
    <xf numFmtId="164" fontId="6" fillId="0" borderId="2" xfId="0" applyNumberFormat="1" applyFont="1" applyBorder="1"/>
    <xf numFmtId="164" fontId="6" fillId="0" borderId="0" xfId="0" applyNumberFormat="1" applyFont="1"/>
    <xf numFmtId="164" fontId="8" fillId="0" borderId="3" xfId="0" applyNumberFormat="1" applyFont="1" applyBorder="1"/>
    <xf numFmtId="164" fontId="7" fillId="0" borderId="1" xfId="0" applyNumberFormat="1" applyFont="1" applyBorder="1"/>
    <xf numFmtId="164" fontId="7" fillId="0" borderId="2" xfId="0" applyNumberFormat="1" applyFont="1" applyBorder="1"/>
    <xf numFmtId="43" fontId="8" fillId="0" borderId="0" xfId="0" applyNumberFormat="1" applyFont="1"/>
    <xf numFmtId="43" fontId="8" fillId="0" borderId="4" xfId="0" applyNumberFormat="1" applyFont="1" applyBorder="1"/>
    <xf numFmtId="0" fontId="8" fillId="0" borderId="0" xfId="0" applyFont="1"/>
    <xf numFmtId="0" fontId="6" fillId="0" borderId="0" xfId="0" applyFont="1" applyAlignment="1">
      <alignment horizontal="center"/>
    </xf>
    <xf numFmtId="16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7" fontId="6" fillId="0" borderId="1" xfId="0" applyNumberFormat="1" applyFont="1" applyBorder="1"/>
    <xf numFmtId="0" fontId="6" fillId="0" borderId="2" xfId="0" applyFont="1" applyBorder="1" applyAlignment="1">
      <alignment horizontal="left"/>
    </xf>
    <xf numFmtId="7" fontId="6" fillId="0" borderId="2" xfId="0" applyNumberFormat="1" applyFont="1" applyBorder="1"/>
    <xf numFmtId="0" fontId="8" fillId="2" borderId="0" xfId="0" applyFont="1" applyFill="1"/>
    <xf numFmtId="0" fontId="6" fillId="2" borderId="0" xfId="0" applyFont="1" applyFill="1"/>
    <xf numFmtId="164" fontId="8" fillId="2" borderId="1" xfId="0" applyNumberFormat="1" applyFont="1" applyFill="1" applyBorder="1"/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5" fillId="3" borderId="0" xfId="0" applyFont="1" applyFill="1" applyAlignment="1">
      <alignment horizontal="right"/>
    </xf>
    <xf numFmtId="164" fontId="8" fillId="3" borderId="1" xfId="0" applyNumberFormat="1" applyFont="1" applyFill="1" applyBorder="1"/>
    <xf numFmtId="0" fontId="8" fillId="2" borderId="0" xfId="0" applyFont="1" applyFill="1" applyAlignment="1">
      <alignment horizontal="left"/>
    </xf>
    <xf numFmtId="164" fontId="8" fillId="2" borderId="2" xfId="0" applyNumberFormat="1" applyFont="1" applyFill="1" applyBorder="1"/>
    <xf numFmtId="0" fontId="9" fillId="0" borderId="0" xfId="0" applyFont="1"/>
    <xf numFmtId="0" fontId="1" fillId="4" borderId="0" xfId="0" applyFont="1" applyFill="1"/>
    <xf numFmtId="0" fontId="5" fillId="4" borderId="0" xfId="0" applyFont="1" applyFill="1" applyAlignment="1">
      <alignment horizontal="right"/>
    </xf>
    <xf numFmtId="164" fontId="1" fillId="4" borderId="4" xfId="0" applyNumberFormat="1" applyFont="1" applyFill="1" applyBorder="1"/>
    <xf numFmtId="165" fontId="7" fillId="0" borderId="0" xfId="0" applyNumberFormat="1" applyFont="1"/>
    <xf numFmtId="0" fontId="10" fillId="0" borderId="0" xfId="0" applyFont="1"/>
    <xf numFmtId="164" fontId="11" fillId="0" borderId="2" xfId="0" applyNumberFormat="1" applyFont="1" applyBorder="1"/>
    <xf numFmtId="7" fontId="12" fillId="0" borderId="1" xfId="0" applyNumberFormat="1" applyFont="1" applyBorder="1"/>
    <xf numFmtId="7" fontId="12" fillId="0" borderId="2" xfId="0" applyNumberFormat="1" applyFont="1" applyBorder="1"/>
    <xf numFmtId="164" fontId="12" fillId="0" borderId="1" xfId="0" applyNumberFormat="1" applyFont="1" applyBorder="1"/>
    <xf numFmtId="164" fontId="12" fillId="0" borderId="2" xfId="0" applyNumberFormat="1" applyFont="1" applyBorder="1"/>
    <xf numFmtId="7" fontId="6" fillId="0" borderId="0" xfId="0" applyNumberFormat="1" applyFont="1"/>
    <xf numFmtId="43" fontId="13" fillId="0" borderId="0" xfId="0" applyNumberFormat="1" applyFont="1"/>
    <xf numFmtId="164" fontId="8" fillId="0" borderId="4" xfId="0" applyNumberFormat="1" applyFont="1" applyBorder="1"/>
    <xf numFmtId="164" fontId="8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22" zoomScaleNormal="100" workbookViewId="0">
      <selection activeCell="E42" sqref="E42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3.296875" customWidth="1"/>
    <col min="7" max="7" width="18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>
        <v>0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>
        <v>0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11"/>
      <c r="F15" s="11"/>
      <c r="I15" s="1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5.45" customHeight="1">
      <c r="B17" s="10"/>
      <c r="D17" s="11" t="s">
        <v>13</v>
      </c>
      <c r="E17" s="11"/>
      <c r="F17" s="11"/>
      <c r="I17" s="13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49">
        <f>E42</f>
        <v>0</v>
      </c>
    </row>
    <row r="33" spans="1:10" ht="15.45" customHeight="1">
      <c r="A33" s="20"/>
      <c r="C33" s="2"/>
      <c r="F33" s="2"/>
      <c r="G33" s="2"/>
      <c r="I33" s="50">
        <f>SUM(I21:I32)</f>
        <v>0</v>
      </c>
    </row>
    <row r="34" spans="1:10" ht="15.45" customHeight="1">
      <c r="C34" s="2"/>
      <c r="D34" s="2"/>
      <c r="E34" s="2"/>
      <c r="F34" s="2"/>
      <c r="I34" s="5"/>
    </row>
    <row r="35" spans="1:10" ht="13.8">
      <c r="A35" s="3" t="s">
        <v>20</v>
      </c>
      <c r="G35" t="s">
        <v>21</v>
      </c>
      <c r="I35" s="21" t="s">
        <v>22</v>
      </c>
    </row>
    <row r="36" spans="1:10" ht="13.8">
      <c r="A36" t="s">
        <v>23</v>
      </c>
      <c r="D36" s="4"/>
      <c r="E36" s="22"/>
      <c r="G36" s="23">
        <v>1</v>
      </c>
      <c r="H36" s="4"/>
      <c r="I36" s="24"/>
    </row>
    <row r="37" spans="1:10" ht="13.8">
      <c r="A37" t="s">
        <v>25</v>
      </c>
      <c r="E37" s="13"/>
      <c r="G37" s="25">
        <v>2</v>
      </c>
      <c r="I37" s="26"/>
    </row>
    <row r="38" spans="1:10" ht="13.8">
      <c r="A38" t="s">
        <v>27</v>
      </c>
      <c r="E38" s="13"/>
      <c r="G38" s="25">
        <v>3</v>
      </c>
      <c r="I38" s="26"/>
    </row>
    <row r="39" spans="1:10" ht="13.8">
      <c r="A39" t="s">
        <v>29</v>
      </c>
      <c r="E39" s="13"/>
      <c r="G39" s="25">
        <v>4</v>
      </c>
      <c r="I39" s="26"/>
    </row>
    <row r="40" spans="1:10" ht="13.8">
      <c r="A40" t="s">
        <v>13</v>
      </c>
      <c r="E40" s="13"/>
      <c r="G40" s="25">
        <v>5</v>
      </c>
      <c r="I40" s="26"/>
    </row>
    <row r="41" spans="1:10" ht="13.8">
      <c r="E41" s="22"/>
      <c r="G41" s="25">
        <v>6</v>
      </c>
      <c r="H41" s="20"/>
      <c r="I41" s="24"/>
    </row>
    <row r="42" spans="1:10" ht="14.55" customHeight="1">
      <c r="A42" s="27" t="s">
        <v>33</v>
      </c>
      <c r="B42" s="28"/>
      <c r="C42" s="28"/>
      <c r="D42" s="27"/>
      <c r="E42" s="29">
        <f>SUM(E36:E41)</f>
        <v>0</v>
      </c>
      <c r="G42" s="10" t="s">
        <v>34</v>
      </c>
      <c r="H42" s="4"/>
      <c r="I42" s="9">
        <f>SUM(I36:I41)</f>
        <v>0</v>
      </c>
      <c r="J42">
        <v>0</v>
      </c>
    </row>
    <row r="44" spans="1:10" ht="13.8">
      <c r="D44" s="30" t="s">
        <v>35</v>
      </c>
      <c r="E44" s="31"/>
      <c r="F44" s="32" t="s">
        <v>4</v>
      </c>
      <c r="G44" s="33">
        <f>I11</f>
        <v>0</v>
      </c>
    </row>
    <row r="45" spans="1:10" ht="13.8">
      <c r="D45" s="34" t="s">
        <v>33</v>
      </c>
      <c r="E45" s="27"/>
      <c r="F45" s="28"/>
      <c r="G45" s="35">
        <f>I33</f>
        <v>0</v>
      </c>
    </row>
    <row r="46" spans="1:10" ht="13.8">
      <c r="D46" s="36" t="s">
        <v>36</v>
      </c>
      <c r="G46" s="22"/>
    </row>
    <row r="47" spans="1:10" ht="16.05" customHeight="1">
      <c r="D47" s="37" t="s">
        <v>37</v>
      </c>
      <c r="E47" s="37"/>
      <c r="F47" s="38" t="s">
        <v>4</v>
      </c>
      <c r="G47" s="39">
        <f>(G44-G45)</f>
        <v>0</v>
      </c>
    </row>
    <row r="48" spans="1:10" ht="13.8">
      <c r="B48" t="s">
        <v>38</v>
      </c>
    </row>
    <row r="49" spans="1:10" ht="13.8">
      <c r="A49" s="20" t="s">
        <v>39</v>
      </c>
      <c r="B49" s="20"/>
    </row>
    <row r="51" spans="1:10" ht="13.8">
      <c r="A51" s="20" t="s">
        <v>40</v>
      </c>
      <c r="B51" s="20"/>
      <c r="C51" s="20"/>
      <c r="F51" s="20"/>
      <c r="G51" s="20"/>
      <c r="J51" s="20"/>
    </row>
    <row r="52" spans="1:10" ht="13.8">
      <c r="A52" t="s">
        <v>41</v>
      </c>
    </row>
    <row r="54" spans="1:10" ht="13.8">
      <c r="A54" s="20" t="s">
        <v>42</v>
      </c>
      <c r="B54" s="20"/>
    </row>
    <row r="56" spans="1:10" ht="13.8">
      <c r="A56" s="20" t="s">
        <v>43</v>
      </c>
      <c r="B56" s="20"/>
      <c r="C56" s="20"/>
      <c r="E56" s="20"/>
      <c r="G56" s="20" t="s">
        <v>44</v>
      </c>
      <c r="H56" s="20"/>
    </row>
    <row r="57" spans="1:10" ht="13.8">
      <c r="A57" t="s">
        <v>45</v>
      </c>
      <c r="G57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9"/>
  <sheetViews>
    <sheetView zoomScaleNormal="100" workbookViewId="0">
      <selection activeCell="I52" sqref="I52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7.19921875" customWidth="1"/>
    <col min="8" max="8" width="2.69921875" customWidth="1"/>
    <col min="9" max="9" width="32.89843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48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40"/>
      <c r="F15" s="11"/>
      <c r="I15" s="2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13" ht="15.45" customHeight="1">
      <c r="B17" s="10"/>
      <c r="D17" s="11" t="s">
        <v>13</v>
      </c>
      <c r="E17" s="11"/>
      <c r="F17" s="11"/>
      <c r="I17" s="13"/>
    </row>
    <row r="18" spans="1:13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13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13" ht="13.8">
      <c r="B20" s="10" t="s">
        <v>16</v>
      </c>
      <c r="C20" t="s">
        <v>7</v>
      </c>
      <c r="I20" s="14"/>
    </row>
    <row r="21" spans="1:13" ht="14.55" customHeight="1">
      <c r="I21" s="15">
        <f>SUM(I15:I20)</f>
        <v>0</v>
      </c>
    </row>
    <row r="22" spans="1:13" ht="15.45" customHeight="1">
      <c r="B22" t="s">
        <v>17</v>
      </c>
      <c r="C22" s="2"/>
      <c r="D22" s="2"/>
      <c r="E22" s="2"/>
      <c r="F22" s="2"/>
    </row>
    <row r="23" spans="1:13" ht="14.25" customHeight="1">
      <c r="B23" t="s">
        <v>10</v>
      </c>
      <c r="C23" t="s">
        <v>3</v>
      </c>
      <c r="D23" s="2"/>
      <c r="E23" s="2"/>
      <c r="F23" s="2"/>
    </row>
    <row r="24" spans="1:13" ht="15.45" customHeight="1">
      <c r="D24" s="11" t="s">
        <v>11</v>
      </c>
      <c r="F24" s="8"/>
      <c r="G24" s="16"/>
      <c r="M24" s="41"/>
    </row>
    <row r="25" spans="1:13" ht="15.45" customHeight="1">
      <c r="D25" s="11" t="s">
        <v>12</v>
      </c>
      <c r="F25" s="2"/>
      <c r="G25" s="17"/>
    </row>
    <row r="26" spans="1:13" ht="15.45" customHeight="1">
      <c r="D26" s="11" t="s">
        <v>13</v>
      </c>
      <c r="F26" s="8"/>
      <c r="G26" s="17"/>
    </row>
    <row r="27" spans="1:13" ht="15.45" customHeight="1">
      <c r="B27" t="s">
        <v>14</v>
      </c>
      <c r="C27" t="s">
        <v>5</v>
      </c>
      <c r="D27" s="2"/>
      <c r="F27" s="8"/>
      <c r="G27" s="13"/>
    </row>
    <row r="28" spans="1:13" ht="15.45" customHeight="1">
      <c r="B28" t="s">
        <v>15</v>
      </c>
      <c r="C28" t="s">
        <v>6</v>
      </c>
      <c r="D28" s="2"/>
      <c r="F28" s="8"/>
      <c r="G28" s="17"/>
    </row>
    <row r="29" spans="1:13" ht="13.8">
      <c r="B29" t="s">
        <v>16</v>
      </c>
      <c r="C29" t="s">
        <v>7</v>
      </c>
      <c r="G29" s="14"/>
    </row>
    <row r="30" spans="1:13" ht="16.05" customHeight="1">
      <c r="C30" s="2" t="s">
        <v>18</v>
      </c>
      <c r="D30" s="2"/>
      <c r="F30" s="2"/>
      <c r="G30" s="15">
        <f>SUM(G24:G29)</f>
        <v>0</v>
      </c>
    </row>
    <row r="31" spans="1:13" ht="15" customHeight="1">
      <c r="C31" s="2"/>
      <c r="D31" s="2"/>
      <c r="E31" s="2"/>
      <c r="F31" s="2"/>
      <c r="I31" s="18"/>
    </row>
    <row r="32" spans="1:13" ht="16.05" customHeight="1">
      <c r="A32" t="s">
        <v>19</v>
      </c>
      <c r="C32" s="2"/>
      <c r="D32" s="2"/>
      <c r="E32" s="2"/>
      <c r="F32" s="2"/>
      <c r="H32" s="4"/>
      <c r="I32" s="19">
        <f>E42</f>
        <v>2000</v>
      </c>
    </row>
    <row r="33" spans="1:9" ht="15.45" customHeight="1">
      <c r="A33" s="20"/>
      <c r="C33" s="2"/>
      <c r="F33" s="2"/>
      <c r="G33" s="2"/>
      <c r="I33" s="18">
        <f>SUM(I21:I32)</f>
        <v>2000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SUM(I36:I41)</f>
        <v>2000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13"/>
      <c r="G37" s="25" t="s">
        <v>26</v>
      </c>
      <c r="I37" s="26">
        <v>450</v>
      </c>
    </row>
    <row r="38" spans="1:9" ht="13.8">
      <c r="A38" t="s">
        <v>27</v>
      </c>
      <c r="E38" s="13"/>
      <c r="G38" s="25" t="s">
        <v>28</v>
      </c>
      <c r="I38" s="26">
        <v>350</v>
      </c>
    </row>
    <row r="39" spans="1:9" ht="13.8">
      <c r="A39" t="s">
        <v>29</v>
      </c>
      <c r="E39" s="13"/>
      <c r="G39" s="25" t="s">
        <v>30</v>
      </c>
      <c r="I39" s="26">
        <v>350</v>
      </c>
    </row>
    <row r="40" spans="1:9" ht="13.8">
      <c r="A40" t="s">
        <v>13</v>
      </c>
      <c r="E40" s="13"/>
      <c r="G40" s="25" t="s">
        <v>31</v>
      </c>
      <c r="I40" s="26"/>
    </row>
    <row r="41" spans="1:9" ht="13.8">
      <c r="E41" s="22"/>
      <c r="G41" s="25" t="s">
        <v>32</v>
      </c>
      <c r="H41" s="20"/>
      <c r="I41" s="24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2000</v>
      </c>
      <c r="G42" s="10" t="s">
        <v>34</v>
      </c>
      <c r="H42" s="4"/>
      <c r="I42" s="9">
        <f>SUM(I36:I41)</f>
        <v>2000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2000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-2000</v>
      </c>
    </row>
    <row r="51" spans="1:10" ht="13.8">
      <c r="A51" s="20" t="s">
        <v>39</v>
      </c>
      <c r="B51" s="20"/>
    </row>
    <row r="53" spans="1:10" ht="13.8">
      <c r="A53" s="20" t="s">
        <v>40</v>
      </c>
      <c r="B53" s="20"/>
      <c r="C53" s="20"/>
      <c r="F53" s="20"/>
      <c r="G53" s="20"/>
      <c r="J53" s="20"/>
    </row>
    <row r="54" spans="1:10" ht="13.8">
      <c r="A54" t="s">
        <v>41</v>
      </c>
    </row>
    <row r="56" spans="1:10" ht="13.8">
      <c r="A56" s="20" t="s">
        <v>42</v>
      </c>
      <c r="B56" s="20"/>
    </row>
    <row r="58" spans="1:10" ht="13.8">
      <c r="A58" s="20" t="s">
        <v>43</v>
      </c>
      <c r="B58" s="20"/>
      <c r="C58" s="20"/>
      <c r="E58" s="20"/>
      <c r="G58" s="20" t="s">
        <v>44</v>
      </c>
      <c r="H58" s="20"/>
    </row>
    <row r="59" spans="1:10" ht="13.8">
      <c r="A59" t="s">
        <v>45</v>
      </c>
      <c r="G59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zoomScaleNormal="100" workbookViewId="0">
      <selection activeCell="E37" sqref="E37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7.19921875" customWidth="1"/>
    <col min="8" max="8" width="2.69921875" customWidth="1"/>
    <col min="9" max="9" width="31.59765625" customWidth="1"/>
    <col min="10" max="10" width="0.3984375" hidden="1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49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40"/>
      <c r="F15" s="11"/>
      <c r="I15" s="16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8" customHeight="1">
      <c r="B17" s="10"/>
      <c r="D17" s="11" t="s">
        <v>13</v>
      </c>
      <c r="E17" s="11"/>
      <c r="F17" s="11"/>
      <c r="I17" s="42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1650</v>
      </c>
    </row>
    <row r="33" spans="1:9" ht="15.45" customHeight="1">
      <c r="A33" s="20"/>
      <c r="C33" s="2"/>
      <c r="F33" s="2"/>
      <c r="G33" s="2"/>
      <c r="I33" s="18">
        <f>SUM(I21:I32)</f>
        <v>1650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SUM(I36:I41)</f>
        <v>1650</v>
      </c>
      <c r="G36" s="23" t="s">
        <v>24</v>
      </c>
      <c r="H36" s="4"/>
      <c r="I36" s="43">
        <v>500</v>
      </c>
    </row>
    <row r="37" spans="1:9" ht="13.8">
      <c r="A37" t="s">
        <v>25</v>
      </c>
      <c r="E37" s="13"/>
      <c r="G37" s="25" t="s">
        <v>26</v>
      </c>
      <c r="I37" s="44">
        <v>450</v>
      </c>
    </row>
    <row r="38" spans="1:9" ht="13.8">
      <c r="A38" t="s">
        <v>27</v>
      </c>
      <c r="E38" s="13"/>
      <c r="G38" s="25" t="s">
        <v>28</v>
      </c>
      <c r="I38" s="44"/>
    </row>
    <row r="39" spans="1:9" ht="13.8">
      <c r="A39" t="s">
        <v>29</v>
      </c>
      <c r="E39" s="13"/>
      <c r="G39" s="25" t="s">
        <v>30</v>
      </c>
      <c r="I39" s="44">
        <v>350</v>
      </c>
    </row>
    <row r="40" spans="1:9" ht="13.8">
      <c r="A40" t="s">
        <v>13</v>
      </c>
      <c r="E40" s="13"/>
      <c r="G40" s="25" t="s">
        <v>31</v>
      </c>
      <c r="I40" s="44"/>
    </row>
    <row r="41" spans="1:9" ht="13.8">
      <c r="E41" s="22"/>
      <c r="G41" s="25" t="s">
        <v>32</v>
      </c>
      <c r="H41" s="20"/>
      <c r="I41" s="43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1650</v>
      </c>
      <c r="G42" s="10" t="s">
        <v>34</v>
      </c>
      <c r="H42" s="4"/>
      <c r="I42" s="9">
        <f>SUM(I36:I41)</f>
        <v>1650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1650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-1650</v>
      </c>
    </row>
    <row r="51" spans="1:10" ht="13.8">
      <c r="A51" s="20" t="s">
        <v>39</v>
      </c>
      <c r="B51" s="20"/>
    </row>
    <row r="53" spans="1:10" ht="13.8">
      <c r="A53" s="20" t="s">
        <v>40</v>
      </c>
      <c r="B53" s="20"/>
      <c r="C53" s="20"/>
      <c r="F53" s="20"/>
      <c r="G53" s="20"/>
      <c r="J53" s="20"/>
    </row>
    <row r="54" spans="1:10" ht="13.8">
      <c r="A54" t="s">
        <v>41</v>
      </c>
    </row>
    <row r="56" spans="1:10" ht="13.8">
      <c r="A56" s="20" t="s">
        <v>42</v>
      </c>
      <c r="B56" s="20"/>
    </row>
    <row r="58" spans="1:10" ht="13.8">
      <c r="A58" s="20" t="s">
        <v>43</v>
      </c>
      <c r="B58" s="20"/>
      <c r="C58" s="20"/>
      <c r="E58" s="20"/>
      <c r="G58" s="20" t="s">
        <v>44</v>
      </c>
      <c r="H58" s="20"/>
    </row>
    <row r="59" spans="1:10" ht="13.8">
      <c r="A59" t="s">
        <v>45</v>
      </c>
      <c r="G59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9"/>
  <sheetViews>
    <sheetView zoomScaleNormal="100" workbookViewId="0">
      <selection activeCell="N36" sqref="N36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7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50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3.8">
      <c r="B10" t="s">
        <v>7</v>
      </c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40"/>
      <c r="F15" s="11"/>
      <c r="I15" s="2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5.45" customHeight="1">
      <c r="B17" s="10"/>
      <c r="D17" s="11" t="s">
        <v>13</v>
      </c>
      <c r="E17" s="11"/>
      <c r="F17" s="11"/>
      <c r="I17" s="13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E26" t="s">
        <v>51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1650</v>
      </c>
    </row>
    <row r="33" spans="1:9" ht="15.45" customHeight="1">
      <c r="A33" s="20"/>
      <c r="C33" s="2"/>
      <c r="F33" s="2"/>
      <c r="G33" s="2"/>
      <c r="I33" s="18">
        <f>SUM(I21:I32)</f>
        <v>1650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SUM(I36:I41)</f>
        <v>1650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13"/>
      <c r="G37" s="25" t="s">
        <v>26</v>
      </c>
      <c r="I37" s="26">
        <v>450</v>
      </c>
    </row>
    <row r="38" spans="1:9" ht="13.8">
      <c r="A38" t="s">
        <v>27</v>
      </c>
      <c r="E38" s="13"/>
      <c r="G38" s="25" t="s">
        <v>28</v>
      </c>
      <c r="I38" s="26">
        <v>350</v>
      </c>
    </row>
    <row r="39" spans="1:9" ht="13.8">
      <c r="A39" t="s">
        <v>29</v>
      </c>
      <c r="E39" s="13"/>
      <c r="G39" s="25" t="s">
        <v>30</v>
      </c>
      <c r="I39" s="26"/>
    </row>
    <row r="40" spans="1:9" ht="13.8">
      <c r="A40" t="s">
        <v>13</v>
      </c>
      <c r="E40" s="13"/>
      <c r="G40" s="25" t="s">
        <v>31</v>
      </c>
      <c r="I40" s="26"/>
    </row>
    <row r="41" spans="1:9" ht="13.8">
      <c r="E41" s="22"/>
      <c r="G41" s="25" t="s">
        <v>32</v>
      </c>
      <c r="H41" s="20"/>
      <c r="I41" s="24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1650</v>
      </c>
      <c r="G42" s="10" t="s">
        <v>34</v>
      </c>
      <c r="H42" s="4"/>
      <c r="I42" s="9">
        <f>SUM(I36:I41)</f>
        <v>1650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1650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-1650</v>
      </c>
    </row>
    <row r="51" spans="1:10" ht="13.8">
      <c r="A51" s="20" t="s">
        <v>39</v>
      </c>
      <c r="B51" s="20"/>
    </row>
    <row r="53" spans="1:10" ht="13.8">
      <c r="A53" s="20" t="s">
        <v>40</v>
      </c>
      <c r="B53" s="20"/>
      <c r="C53" s="20"/>
      <c r="F53" s="20"/>
      <c r="G53" s="20"/>
      <c r="J53" s="20"/>
    </row>
    <row r="54" spans="1:10" ht="13.8">
      <c r="A54" t="s">
        <v>41</v>
      </c>
    </row>
    <row r="56" spans="1:10" ht="13.8">
      <c r="A56" s="20" t="s">
        <v>42</v>
      </c>
      <c r="B56" s="20"/>
    </row>
    <row r="58" spans="1:10" ht="13.8">
      <c r="A58" s="20" t="s">
        <v>43</v>
      </c>
      <c r="B58" s="20"/>
      <c r="C58" s="20"/>
      <c r="E58" s="20"/>
      <c r="G58" s="20" t="s">
        <v>44</v>
      </c>
      <c r="H58" s="20"/>
    </row>
    <row r="59" spans="1:10" ht="13.8">
      <c r="A59" t="s">
        <v>45</v>
      </c>
      <c r="G59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9"/>
  <sheetViews>
    <sheetView zoomScaleNormal="100" workbookViewId="0">
      <selection activeCell="G24" sqref="G24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7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52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3.8">
      <c r="B10" t="s">
        <v>7</v>
      </c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40"/>
      <c r="F15" s="11"/>
      <c r="I15" s="45"/>
      <c r="L15" s="5"/>
    </row>
    <row r="16" spans="1:12" ht="15.45" customHeight="1">
      <c r="B16" s="10"/>
      <c r="D16" s="11" t="s">
        <v>12</v>
      </c>
      <c r="E16" s="11"/>
      <c r="F16" s="11"/>
      <c r="I16" s="46"/>
      <c r="L16" s="5"/>
    </row>
    <row r="17" spans="1:9" ht="15.45" customHeight="1">
      <c r="B17" s="10"/>
      <c r="D17" s="11" t="s">
        <v>13</v>
      </c>
      <c r="E17" s="11"/>
      <c r="F17" s="11"/>
      <c r="I17" s="46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46">
        <v>5036</v>
      </c>
    </row>
    <row r="19" spans="1:9" ht="15.45" customHeight="1">
      <c r="B19" s="10" t="s">
        <v>15</v>
      </c>
      <c r="C19" t="s">
        <v>6</v>
      </c>
      <c r="D19" s="2"/>
      <c r="E19" s="2"/>
      <c r="F19" s="2"/>
      <c r="I19" s="46">
        <v>1013</v>
      </c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6049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1650</v>
      </c>
    </row>
    <row r="33" spans="1:9" ht="15.45" customHeight="1">
      <c r="A33" s="20"/>
      <c r="C33" s="2"/>
      <c r="F33" s="2"/>
      <c r="G33" s="2"/>
      <c r="I33" s="18">
        <f>SUM(I21:I32)</f>
        <v>7699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SUM(I36:I41)</f>
        <v>1650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13"/>
      <c r="G37" s="25" t="s">
        <v>53</v>
      </c>
      <c r="I37" s="26">
        <v>450</v>
      </c>
    </row>
    <row r="38" spans="1:9" ht="13.8">
      <c r="A38" t="s">
        <v>27</v>
      </c>
      <c r="E38" s="13"/>
      <c r="G38" s="25" t="s">
        <v>54</v>
      </c>
      <c r="I38" s="26">
        <v>350</v>
      </c>
    </row>
    <row r="39" spans="1:9" ht="13.8">
      <c r="A39" t="s">
        <v>29</v>
      </c>
      <c r="E39" s="13"/>
      <c r="G39" s="25" t="s">
        <v>55</v>
      </c>
      <c r="I39" s="26">
        <v>350</v>
      </c>
    </row>
    <row r="40" spans="1:9" ht="13.8">
      <c r="A40" t="s">
        <v>13</v>
      </c>
      <c r="E40" s="13"/>
      <c r="G40" s="25">
        <v>5</v>
      </c>
      <c r="I40" s="26"/>
    </row>
    <row r="41" spans="1:9" ht="13.8">
      <c r="E41" s="22"/>
      <c r="G41" s="25">
        <v>6</v>
      </c>
      <c r="H41" s="20"/>
      <c r="I41" s="24"/>
    </row>
    <row r="42" spans="1:9" ht="14.55" customHeight="1">
      <c r="A42" s="27" t="s">
        <v>33</v>
      </c>
      <c r="B42" s="28"/>
      <c r="C42" s="28"/>
      <c r="D42" s="27"/>
      <c r="E42" s="29">
        <f>SUM(E36:E41)</f>
        <v>1650</v>
      </c>
      <c r="G42" s="10" t="s">
        <v>34</v>
      </c>
      <c r="H42" s="4"/>
      <c r="I42" s="9">
        <f>SUM(I36:I41)</f>
        <v>1650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7699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-7699</v>
      </c>
    </row>
    <row r="51" spans="1:10" ht="13.8">
      <c r="A51" s="20" t="s">
        <v>39</v>
      </c>
      <c r="B51" s="20"/>
    </row>
    <row r="53" spans="1:10" ht="13.8">
      <c r="A53" s="20" t="s">
        <v>40</v>
      </c>
      <c r="B53" s="20"/>
      <c r="C53" s="20"/>
      <c r="F53" s="20"/>
      <c r="G53" s="20"/>
      <c r="J53" s="20"/>
    </row>
    <row r="54" spans="1:10" ht="13.8">
      <c r="A54" t="s">
        <v>41</v>
      </c>
    </row>
    <row r="56" spans="1:10" ht="13.8">
      <c r="A56" s="20" t="s">
        <v>42</v>
      </c>
      <c r="B56" s="20"/>
    </row>
    <row r="58" spans="1:10" ht="13.8">
      <c r="A58" s="20" t="s">
        <v>43</v>
      </c>
      <c r="B58" s="20"/>
      <c r="C58" s="20"/>
      <c r="E58" s="20"/>
      <c r="G58" s="20" t="s">
        <v>44</v>
      </c>
      <c r="H58" s="20"/>
    </row>
    <row r="59" spans="1:10" ht="13.8">
      <c r="A59" t="s">
        <v>45</v>
      </c>
      <c r="G59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9"/>
  <sheetViews>
    <sheetView zoomScaleNormal="100" workbookViewId="0">
      <selection activeCell="I15" sqref="I15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7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56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3.8">
      <c r="B10" t="s">
        <v>7</v>
      </c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I12" s="47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40"/>
      <c r="F15" s="11"/>
      <c r="I15" s="2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5.45" customHeight="1">
      <c r="B17" s="10"/>
      <c r="D17" s="11" t="s">
        <v>13</v>
      </c>
      <c r="E17" s="11"/>
      <c r="F17" s="11"/>
      <c r="I17" s="13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1300</v>
      </c>
    </row>
    <row r="33" spans="1:9" ht="15.45" customHeight="1">
      <c r="A33" s="20"/>
      <c r="C33" s="2"/>
      <c r="F33" s="2"/>
      <c r="G33" s="2"/>
      <c r="I33" s="18">
        <f>SUM(I21:I32)</f>
        <v>1300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SUM(I36:I41)</f>
        <v>1300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13"/>
      <c r="G37" s="25" t="s">
        <v>53</v>
      </c>
      <c r="I37" s="26">
        <v>450</v>
      </c>
    </row>
    <row r="38" spans="1:9" ht="13.8">
      <c r="A38" t="s">
        <v>27</v>
      </c>
      <c r="E38" s="13"/>
      <c r="G38" s="25" t="s">
        <v>54</v>
      </c>
      <c r="I38" s="26">
        <v>350</v>
      </c>
    </row>
    <row r="39" spans="1:9" ht="13.8">
      <c r="A39" t="s">
        <v>29</v>
      </c>
      <c r="E39" s="13"/>
      <c r="G39" s="25" t="s">
        <v>30</v>
      </c>
      <c r="I39" s="26"/>
    </row>
    <row r="40" spans="1:9" ht="13.8">
      <c r="A40" t="s">
        <v>13</v>
      </c>
      <c r="E40" s="13"/>
      <c r="G40" s="25" t="s">
        <v>31</v>
      </c>
      <c r="I40" s="26"/>
    </row>
    <row r="41" spans="1:9" ht="13.8">
      <c r="E41" s="22"/>
      <c r="G41" s="25" t="s">
        <v>32</v>
      </c>
      <c r="H41" s="20"/>
      <c r="I41" s="24"/>
    </row>
    <row r="42" spans="1:9" ht="14.55" customHeight="1">
      <c r="A42" s="27" t="s">
        <v>33</v>
      </c>
      <c r="B42" s="28"/>
      <c r="C42" s="28"/>
      <c r="D42" s="27"/>
      <c r="E42" s="29">
        <f>SUM(E36:E41)</f>
        <v>1300</v>
      </c>
      <c r="G42" s="10" t="s">
        <v>34</v>
      </c>
      <c r="H42" s="4"/>
      <c r="I42" s="9">
        <f>SUM(I36:I41)</f>
        <v>1300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1300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-1300</v>
      </c>
    </row>
    <row r="51" spans="1:10" ht="13.8">
      <c r="A51" s="20" t="s">
        <v>39</v>
      </c>
      <c r="B51" s="20"/>
    </row>
    <row r="53" spans="1:10" ht="13.8">
      <c r="A53" s="20" t="s">
        <v>40</v>
      </c>
      <c r="B53" s="20"/>
      <c r="C53" s="20"/>
      <c r="F53" s="20"/>
      <c r="G53" s="20"/>
      <c r="J53" s="20"/>
    </row>
    <row r="54" spans="1:10" ht="13.8">
      <c r="A54" t="s">
        <v>41</v>
      </c>
    </row>
    <row r="56" spans="1:10" ht="13.8">
      <c r="A56" s="20" t="s">
        <v>42</v>
      </c>
      <c r="B56" s="20"/>
    </row>
    <row r="58" spans="1:10" ht="13.8">
      <c r="A58" s="20" t="s">
        <v>43</v>
      </c>
      <c r="B58" s="20"/>
      <c r="C58" s="20"/>
      <c r="E58" s="20"/>
      <c r="G58" s="20" t="s">
        <v>44</v>
      </c>
      <c r="H58" s="20"/>
    </row>
    <row r="59" spans="1:10" ht="13.8">
      <c r="A59" t="s">
        <v>45</v>
      </c>
      <c r="G59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9"/>
  <sheetViews>
    <sheetView zoomScaleNormal="100" workbookViewId="0">
      <selection activeCell="I18" sqref="I18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7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57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3.8">
      <c r="B10" t="s">
        <v>7</v>
      </c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40"/>
      <c r="F15" s="11"/>
      <c r="I15" s="2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5.45" customHeight="1">
      <c r="B17" s="10"/>
      <c r="D17" s="11" t="s">
        <v>13</v>
      </c>
      <c r="E17" s="11"/>
      <c r="F17" s="11"/>
      <c r="I17" s="13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1650</v>
      </c>
    </row>
    <row r="33" spans="1:9" ht="15.45" customHeight="1">
      <c r="A33" s="20"/>
      <c r="C33" s="2"/>
      <c r="F33" s="2"/>
      <c r="G33" s="2"/>
      <c r="I33" s="18">
        <f>SUM(I21:I32)</f>
        <v>1650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SUM(I36:I41)</f>
        <v>1650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13"/>
      <c r="G37" s="25" t="s">
        <v>53</v>
      </c>
      <c r="I37" s="26">
        <v>450</v>
      </c>
    </row>
    <row r="38" spans="1:9" ht="13.8">
      <c r="A38" t="s">
        <v>27</v>
      </c>
      <c r="E38" s="13"/>
      <c r="G38" s="25" t="s">
        <v>54</v>
      </c>
      <c r="I38" s="26">
        <v>350</v>
      </c>
    </row>
    <row r="39" spans="1:9" ht="13.8">
      <c r="A39" t="s">
        <v>29</v>
      </c>
      <c r="E39" s="13"/>
      <c r="G39" s="25" t="s">
        <v>55</v>
      </c>
      <c r="I39" s="26">
        <v>350</v>
      </c>
    </row>
    <row r="40" spans="1:9" ht="13.8">
      <c r="A40" t="s">
        <v>13</v>
      </c>
      <c r="E40" s="13"/>
      <c r="G40" s="25" t="s">
        <v>31</v>
      </c>
      <c r="I40" s="26"/>
    </row>
    <row r="41" spans="1:9" ht="13.8">
      <c r="E41" s="22"/>
      <c r="G41" s="25" t="s">
        <v>32</v>
      </c>
      <c r="H41" s="20"/>
      <c r="I41" s="24"/>
    </row>
    <row r="42" spans="1:9" ht="14.55" customHeight="1">
      <c r="A42" s="27" t="s">
        <v>33</v>
      </c>
      <c r="B42" s="28"/>
      <c r="C42" s="28"/>
      <c r="D42" s="27"/>
      <c r="E42" s="29">
        <f>SUM(E36:E41)</f>
        <v>1650</v>
      </c>
      <c r="G42" s="10" t="s">
        <v>34</v>
      </c>
      <c r="H42" s="4"/>
      <c r="I42" s="9">
        <f>SUM(I36:I41)</f>
        <v>1650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1650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-1650</v>
      </c>
    </row>
    <row r="51" spans="1:10" ht="13.8">
      <c r="A51" s="20" t="s">
        <v>39</v>
      </c>
      <c r="B51" s="20"/>
    </row>
    <row r="53" spans="1:10" ht="13.8">
      <c r="A53" s="20" t="s">
        <v>40</v>
      </c>
      <c r="B53" s="20"/>
      <c r="C53" s="20"/>
      <c r="F53" s="20"/>
      <c r="G53" s="20"/>
      <c r="J53" s="20"/>
    </row>
    <row r="54" spans="1:10" ht="13.8">
      <c r="A54" t="s">
        <v>41</v>
      </c>
    </row>
    <row r="56" spans="1:10" ht="13.8">
      <c r="A56" s="20" t="s">
        <v>42</v>
      </c>
      <c r="B56" s="20"/>
    </row>
    <row r="58" spans="1:10" ht="13.8">
      <c r="A58" s="20" t="s">
        <v>43</v>
      </c>
      <c r="B58" s="20"/>
      <c r="C58" s="20"/>
      <c r="E58" s="20"/>
      <c r="G58" s="20" t="s">
        <v>44</v>
      </c>
      <c r="H58" s="20"/>
    </row>
    <row r="59" spans="1:10" ht="13.8">
      <c r="A59" t="s">
        <v>45</v>
      </c>
      <c r="G59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1"/>
  <sheetViews>
    <sheetView zoomScaleNormal="100" workbookViewId="0">
      <selection activeCell="E39" sqref="E39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8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58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4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11"/>
      <c r="F15" s="11"/>
      <c r="I15" s="1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8" customHeight="1">
      <c r="B17" s="10"/>
      <c r="D17" s="11" t="s">
        <v>13</v>
      </c>
      <c r="E17" s="11"/>
      <c r="F17" s="11"/>
      <c r="I17" s="42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2350</v>
      </c>
    </row>
    <row r="33" spans="1:9" ht="15.45" customHeight="1">
      <c r="A33" s="20"/>
      <c r="C33" s="2"/>
      <c r="F33" s="2"/>
      <c r="G33" s="2"/>
      <c r="I33" s="18">
        <f>SUM(I21:I32)</f>
        <v>2350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I42</f>
        <v>2350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46"/>
      <c r="G37" s="25" t="s">
        <v>26</v>
      </c>
      <c r="I37" s="26">
        <v>450</v>
      </c>
    </row>
    <row r="38" spans="1:9" ht="13.8">
      <c r="A38" t="s">
        <v>27</v>
      </c>
      <c r="E38" s="46"/>
      <c r="G38" s="25" t="s">
        <v>28</v>
      </c>
      <c r="I38" s="26">
        <v>350</v>
      </c>
    </row>
    <row r="39" spans="1:9" ht="13.8">
      <c r="A39" t="s">
        <v>29</v>
      </c>
      <c r="E39" s="46"/>
      <c r="G39" s="25" t="s">
        <v>30</v>
      </c>
      <c r="I39" s="26">
        <v>350</v>
      </c>
    </row>
    <row r="40" spans="1:9" ht="13.8">
      <c r="A40" t="s">
        <v>13</v>
      </c>
      <c r="E40" s="46"/>
      <c r="G40" s="25" t="s">
        <v>31</v>
      </c>
      <c r="I40" s="26">
        <v>350</v>
      </c>
    </row>
    <row r="41" spans="1:9" ht="13.8">
      <c r="E41" s="22"/>
      <c r="G41" s="25" t="s">
        <v>32</v>
      </c>
      <c r="H41" s="20"/>
      <c r="I41" s="24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2350</v>
      </c>
      <c r="G42" s="10" t="s">
        <v>34</v>
      </c>
      <c r="H42" s="4"/>
      <c r="I42" s="9">
        <f>SUM(I36:I41)</f>
        <v>2350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2350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-2350</v>
      </c>
    </row>
    <row r="53" spans="1:10" ht="13.8">
      <c r="A53" s="20" t="s">
        <v>39</v>
      </c>
      <c r="B53" s="20"/>
    </row>
    <row r="55" spans="1:10" ht="13.8">
      <c r="A55" s="20" t="s">
        <v>40</v>
      </c>
      <c r="B55" s="20"/>
      <c r="C55" s="20"/>
      <c r="F55" s="20"/>
      <c r="G55" s="20"/>
      <c r="J55" s="20"/>
    </row>
    <row r="56" spans="1:10" ht="13.8">
      <c r="A56" t="s">
        <v>41</v>
      </c>
    </row>
    <row r="58" spans="1:10" ht="13.8">
      <c r="A58" s="20" t="s">
        <v>42</v>
      </c>
      <c r="B58" s="20"/>
    </row>
    <row r="60" spans="1:10" ht="13.8">
      <c r="A60" s="20" t="s">
        <v>43</v>
      </c>
      <c r="B60" s="20"/>
      <c r="C60" s="20"/>
      <c r="E60" s="20"/>
      <c r="G60" s="20" t="s">
        <v>44</v>
      </c>
      <c r="H60" s="20"/>
    </row>
    <row r="61" spans="1:10" ht="13.8">
      <c r="A61" t="s">
        <v>45</v>
      </c>
      <c r="G61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zoomScaleNormal="100" workbookViewId="0">
      <selection activeCell="E39" sqref="E39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8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59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4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11"/>
      <c r="F15" s="11"/>
      <c r="I15" s="1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8" customHeight="1">
      <c r="B17" s="10"/>
      <c r="D17" s="11" t="s">
        <v>13</v>
      </c>
      <c r="E17" s="11"/>
      <c r="F17" s="11"/>
      <c r="I17" s="42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2350</v>
      </c>
    </row>
    <row r="33" spans="1:9" ht="15.45" customHeight="1">
      <c r="A33" s="20"/>
      <c r="C33" s="2"/>
      <c r="F33" s="2"/>
      <c r="G33" s="2"/>
      <c r="I33" s="18">
        <f>SUM(I21:I32)</f>
        <v>2350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I42</f>
        <v>2350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46"/>
      <c r="G37" s="25" t="s">
        <v>26</v>
      </c>
      <c r="I37" s="26">
        <v>450</v>
      </c>
    </row>
    <row r="38" spans="1:9" ht="13.8">
      <c r="A38" t="s">
        <v>27</v>
      </c>
      <c r="E38" s="46"/>
      <c r="G38" s="25" t="s">
        <v>28</v>
      </c>
      <c r="I38" s="26">
        <v>350</v>
      </c>
    </row>
    <row r="39" spans="1:9" ht="13.8">
      <c r="A39" t="s">
        <v>29</v>
      </c>
      <c r="E39" s="46"/>
      <c r="G39" s="25" t="s">
        <v>30</v>
      </c>
      <c r="I39" s="26">
        <v>350</v>
      </c>
    </row>
    <row r="40" spans="1:9" ht="13.8">
      <c r="A40" t="s">
        <v>13</v>
      </c>
      <c r="E40" s="46"/>
      <c r="G40" s="25" t="s">
        <v>31</v>
      </c>
      <c r="I40" s="26">
        <v>350</v>
      </c>
    </row>
    <row r="41" spans="1:9" ht="13.8">
      <c r="E41" s="22"/>
      <c r="G41" s="25" t="s">
        <v>32</v>
      </c>
      <c r="H41" s="20"/>
      <c r="I41" s="24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2350</v>
      </c>
      <c r="G42" s="10" t="s">
        <v>34</v>
      </c>
      <c r="H42" s="4"/>
      <c r="I42" s="9">
        <f>SUM(I36:I41)</f>
        <v>2350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2350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-2350</v>
      </c>
    </row>
    <row r="53" spans="1:10" ht="13.8">
      <c r="A53" s="20" t="s">
        <v>39</v>
      </c>
      <c r="B53" s="20"/>
    </row>
    <row r="55" spans="1:10" ht="13.8">
      <c r="A55" s="20" t="s">
        <v>40</v>
      </c>
      <c r="B55" s="20"/>
      <c r="C55" s="20"/>
      <c r="F55" s="20"/>
      <c r="G55" s="20"/>
      <c r="J55" s="20"/>
    </row>
    <row r="56" spans="1:10" ht="13.8">
      <c r="A56" t="s">
        <v>41</v>
      </c>
    </row>
    <row r="58" spans="1:10" ht="13.8">
      <c r="A58" s="20" t="s">
        <v>42</v>
      </c>
      <c r="B58" s="20"/>
    </row>
    <row r="60" spans="1:10" ht="13.8">
      <c r="A60" s="20" t="s">
        <v>43</v>
      </c>
      <c r="B60" s="20"/>
      <c r="C60" s="20"/>
      <c r="E60" s="20"/>
      <c r="G60" s="20" t="s">
        <v>44</v>
      </c>
      <c r="H60" s="20"/>
    </row>
    <row r="61" spans="1:10" ht="13.8">
      <c r="A61" t="s">
        <v>45</v>
      </c>
      <c r="G61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1"/>
  <sheetViews>
    <sheetView zoomScaleNormal="100" workbookViewId="0">
      <selection activeCell="E39" sqref="E39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8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60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4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11"/>
      <c r="F15" s="11"/>
      <c r="I15" s="1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8" customHeight="1">
      <c r="B17" s="10"/>
      <c r="D17" s="11" t="s">
        <v>13</v>
      </c>
      <c r="E17" s="11"/>
      <c r="F17" s="11"/>
      <c r="I17" s="42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2350</v>
      </c>
    </row>
    <row r="33" spans="1:9" ht="15.45" customHeight="1">
      <c r="A33" s="20"/>
      <c r="C33" s="2"/>
      <c r="F33" s="2"/>
      <c r="G33" s="2"/>
      <c r="I33" s="18">
        <f>SUM(I21:I32)</f>
        <v>2350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I42</f>
        <v>2350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46"/>
      <c r="G37" s="25" t="s">
        <v>26</v>
      </c>
      <c r="I37" s="26">
        <v>450</v>
      </c>
    </row>
    <row r="38" spans="1:9" ht="13.8">
      <c r="A38" t="s">
        <v>27</v>
      </c>
      <c r="E38" s="46"/>
      <c r="G38" s="25" t="s">
        <v>28</v>
      </c>
      <c r="I38" s="26">
        <v>350</v>
      </c>
    </row>
    <row r="39" spans="1:9" ht="13.8">
      <c r="A39" t="s">
        <v>29</v>
      </c>
      <c r="E39" s="46"/>
      <c r="G39" s="25" t="s">
        <v>30</v>
      </c>
      <c r="I39" s="26">
        <v>350</v>
      </c>
    </row>
    <row r="40" spans="1:9" ht="13.8">
      <c r="A40" t="s">
        <v>13</v>
      </c>
      <c r="E40" s="46"/>
      <c r="G40" s="25" t="s">
        <v>31</v>
      </c>
      <c r="I40" s="26">
        <v>350</v>
      </c>
    </row>
    <row r="41" spans="1:9" ht="13.8">
      <c r="E41" s="22"/>
      <c r="G41" s="25" t="s">
        <v>32</v>
      </c>
      <c r="H41" s="20"/>
      <c r="I41" s="24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2350</v>
      </c>
      <c r="G42" s="10" t="s">
        <v>34</v>
      </c>
      <c r="H42" s="4"/>
      <c r="I42" s="9">
        <f>SUM(I36:I41)</f>
        <v>2350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2350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-2350</v>
      </c>
    </row>
    <row r="53" spans="1:10" ht="13.8">
      <c r="A53" s="20" t="s">
        <v>39</v>
      </c>
      <c r="B53" s="20"/>
    </row>
    <row r="55" spans="1:10" ht="13.8">
      <c r="A55" s="20" t="s">
        <v>40</v>
      </c>
      <c r="B55" s="20"/>
      <c r="C55" s="20"/>
      <c r="F55" s="20"/>
      <c r="G55" s="20"/>
      <c r="J55" s="20"/>
    </row>
    <row r="56" spans="1:10" ht="13.8">
      <c r="A56" t="s">
        <v>41</v>
      </c>
    </row>
    <row r="58" spans="1:10" ht="13.8">
      <c r="A58" s="20" t="s">
        <v>42</v>
      </c>
      <c r="B58" s="20"/>
    </row>
    <row r="60" spans="1:10" ht="13.8">
      <c r="A60" s="20" t="s">
        <v>43</v>
      </c>
      <c r="B60" s="20"/>
      <c r="C60" s="20"/>
      <c r="E60" s="20"/>
      <c r="G60" s="20" t="s">
        <v>44</v>
      </c>
      <c r="H60" s="20"/>
    </row>
    <row r="61" spans="1:10" ht="13.8">
      <c r="A61" t="s">
        <v>45</v>
      </c>
      <c r="G61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1"/>
  <sheetViews>
    <sheetView zoomScaleNormal="100" workbookViewId="0">
      <selection activeCell="E39" sqref="E39"/>
    </sheetView>
  </sheetViews>
  <sheetFormatPr defaultRowHeight="13.95" customHeight="1"/>
  <cols>
    <col min="1" max="1" width="5" customWidth="1"/>
    <col min="2" max="2" width="3" customWidth="1"/>
    <col min="3" max="3" width="3.3984375" customWidth="1"/>
    <col min="4" max="4" width="18.69921875" customWidth="1"/>
    <col min="5" max="5" width="13.19921875" customWidth="1"/>
    <col min="6" max="6" width="4.19921875" customWidth="1"/>
    <col min="7" max="7" width="18.19921875" customWidth="1"/>
    <col min="8" max="8" width="2.69921875" customWidth="1"/>
    <col min="9" max="9" width="34.796875" customWidth="1"/>
    <col min="10" max="10" width="0.3984375" customWidth="1"/>
    <col min="11" max="11" width="3.796875" customWidth="1"/>
    <col min="12" max="12" width="10.59765625" customWidth="1"/>
  </cols>
  <sheetData>
    <row r="1" spans="1:12" ht="15.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25.0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2" ht="19.5" customHeight="1">
      <c r="A3" s="53" t="s">
        <v>47</v>
      </c>
      <c r="B3" s="53"/>
      <c r="C3" s="53"/>
      <c r="D3" s="53"/>
      <c r="E3" s="53"/>
      <c r="F3" s="53"/>
      <c r="G3" s="53"/>
      <c r="H3" s="53"/>
      <c r="I3" s="53"/>
      <c r="J3" s="1"/>
    </row>
    <row r="4" spans="1:12" ht="15.45" customHeight="1">
      <c r="A4" s="54" t="s">
        <v>61</v>
      </c>
      <c r="B4" s="51"/>
      <c r="C4" s="51"/>
      <c r="D4" s="51"/>
      <c r="E4" s="51"/>
      <c r="F4" s="51"/>
      <c r="G4" s="51"/>
      <c r="H4" s="51"/>
      <c r="I4" s="51"/>
      <c r="J4" s="51"/>
    </row>
    <row r="5" spans="1:12" ht="15.45" customHeight="1">
      <c r="C5" s="2"/>
      <c r="D5" s="2"/>
      <c r="E5" s="2"/>
      <c r="F5" s="2"/>
    </row>
    <row r="6" spans="1:12" ht="15.45" customHeight="1">
      <c r="A6" s="3" t="s">
        <v>2</v>
      </c>
      <c r="E6" s="2"/>
      <c r="F6" s="2"/>
    </row>
    <row r="7" spans="1:12" ht="15.45" customHeight="1">
      <c r="B7" t="s">
        <v>3</v>
      </c>
      <c r="C7" s="4"/>
      <c r="D7" s="5"/>
      <c r="E7" s="2"/>
      <c r="F7" s="2"/>
      <c r="H7" s="4" t="s">
        <v>4</v>
      </c>
      <c r="I7" s="6"/>
    </row>
    <row r="8" spans="1:12" ht="15.45" customHeight="1">
      <c r="B8" t="s">
        <v>5</v>
      </c>
      <c r="D8" s="5"/>
      <c r="E8" s="2"/>
      <c r="F8" s="2"/>
      <c r="I8" s="7"/>
    </row>
    <row r="9" spans="1:12" ht="15.45" customHeight="1">
      <c r="B9" t="s">
        <v>6</v>
      </c>
      <c r="D9" s="5"/>
      <c r="E9" s="2"/>
      <c r="F9" s="2"/>
      <c r="I9" s="7"/>
      <c r="L9" s="5"/>
    </row>
    <row r="10" spans="1:12" ht="15.45" customHeight="1">
      <c r="B10" t="s">
        <v>7</v>
      </c>
      <c r="I10" s="48"/>
    </row>
    <row r="11" spans="1:12" ht="16.05" customHeight="1">
      <c r="C11" s="2"/>
      <c r="D11" s="2"/>
      <c r="E11" s="2"/>
      <c r="F11" s="2"/>
      <c r="I11" s="9">
        <f>SUM(I7:I10)</f>
        <v>0</v>
      </c>
    </row>
    <row r="12" spans="1:12" ht="15.45" customHeight="1">
      <c r="A12" s="3" t="s">
        <v>8</v>
      </c>
      <c r="C12" s="2"/>
      <c r="D12" s="2"/>
      <c r="E12" s="2"/>
      <c r="F12" s="2"/>
      <c r="L12" s="5"/>
    </row>
    <row r="13" spans="1:12" ht="15.45" customHeight="1">
      <c r="B13" t="s">
        <v>9</v>
      </c>
      <c r="C13" s="2"/>
      <c r="D13" s="2"/>
      <c r="E13" s="2"/>
      <c r="F13" s="2"/>
      <c r="L13" s="5"/>
    </row>
    <row r="14" spans="1:12" ht="15.45" customHeight="1">
      <c r="B14" s="10" t="s">
        <v>10</v>
      </c>
      <c r="C14" t="s">
        <v>3</v>
      </c>
      <c r="D14" s="2"/>
      <c r="E14" s="11"/>
      <c r="F14" s="11"/>
      <c r="I14" s="5"/>
      <c r="L14" s="5"/>
    </row>
    <row r="15" spans="1:12" ht="15.45" customHeight="1">
      <c r="B15" s="10"/>
      <c r="D15" s="11" t="s">
        <v>11</v>
      </c>
      <c r="E15" s="11"/>
      <c r="F15" s="11"/>
      <c r="I15" s="12"/>
      <c r="L15" s="5"/>
    </row>
    <row r="16" spans="1:12" ht="15.45" customHeight="1">
      <c r="B16" s="10"/>
      <c r="D16" s="11" t="s">
        <v>12</v>
      </c>
      <c r="E16" s="11"/>
      <c r="F16" s="11"/>
      <c r="I16" s="13"/>
      <c r="L16" s="5"/>
    </row>
    <row r="17" spans="1:9" ht="18" customHeight="1">
      <c r="B17" s="10"/>
      <c r="D17" s="11" t="s">
        <v>13</v>
      </c>
      <c r="E17" s="11"/>
      <c r="F17" s="11"/>
      <c r="I17" s="42"/>
    </row>
    <row r="18" spans="1:9" ht="15.45" customHeight="1">
      <c r="B18" s="10" t="s">
        <v>14</v>
      </c>
      <c r="C18" t="s">
        <v>5</v>
      </c>
      <c r="D18" s="2"/>
      <c r="E18" s="2"/>
      <c r="F18" s="2"/>
      <c r="H18" s="4"/>
      <c r="I18" s="13"/>
    </row>
    <row r="19" spans="1:9" ht="15.45" customHeight="1">
      <c r="B19" s="10" t="s">
        <v>15</v>
      </c>
      <c r="C19" t="s">
        <v>6</v>
      </c>
      <c r="D19" s="2"/>
      <c r="E19" s="2"/>
      <c r="F19" s="2"/>
      <c r="I19" s="13"/>
    </row>
    <row r="20" spans="1:9" ht="13.8">
      <c r="B20" s="10" t="s">
        <v>16</v>
      </c>
      <c r="C20" t="s">
        <v>7</v>
      </c>
      <c r="I20" s="14"/>
    </row>
    <row r="21" spans="1:9" ht="14.55" customHeight="1">
      <c r="I21" s="15">
        <f>SUM(I15:I20)</f>
        <v>0</v>
      </c>
    </row>
    <row r="22" spans="1:9" ht="15.45" customHeight="1">
      <c r="B22" t="s">
        <v>17</v>
      </c>
      <c r="C22" s="2"/>
      <c r="D22" s="2"/>
      <c r="E22" s="2"/>
      <c r="F22" s="2"/>
    </row>
    <row r="23" spans="1:9" ht="14.25" customHeight="1">
      <c r="B23" t="s">
        <v>10</v>
      </c>
      <c r="C23" t="s">
        <v>3</v>
      </c>
      <c r="D23" s="2"/>
      <c r="E23" s="2"/>
      <c r="F23" s="2"/>
    </row>
    <row r="24" spans="1:9" ht="15.45" customHeight="1">
      <c r="D24" s="11" t="s">
        <v>11</v>
      </c>
      <c r="F24" s="8"/>
      <c r="G24" s="16"/>
    </row>
    <row r="25" spans="1:9" ht="15.45" customHeight="1">
      <c r="D25" s="11" t="s">
        <v>12</v>
      </c>
      <c r="F25" s="2"/>
      <c r="G25" s="17"/>
    </row>
    <row r="26" spans="1:9" ht="15.45" customHeight="1">
      <c r="D26" s="11" t="s">
        <v>13</v>
      </c>
      <c r="F26" s="8"/>
      <c r="G26" s="17"/>
    </row>
    <row r="27" spans="1:9" ht="15.45" customHeight="1">
      <c r="B27" t="s">
        <v>14</v>
      </c>
      <c r="C27" t="s">
        <v>5</v>
      </c>
      <c r="D27" s="2"/>
      <c r="F27" s="8"/>
      <c r="G27" s="13"/>
    </row>
    <row r="28" spans="1:9" ht="15.45" customHeight="1">
      <c r="B28" t="s">
        <v>15</v>
      </c>
      <c r="C28" t="s">
        <v>6</v>
      </c>
      <c r="D28" s="2"/>
      <c r="F28" s="8"/>
      <c r="G28" s="17"/>
    </row>
    <row r="29" spans="1:9" ht="13.8">
      <c r="B29" t="s">
        <v>16</v>
      </c>
      <c r="C29" t="s">
        <v>7</v>
      </c>
      <c r="G29" s="14"/>
    </row>
    <row r="30" spans="1:9" ht="16.05" customHeight="1">
      <c r="C30" s="2" t="s">
        <v>18</v>
      </c>
      <c r="D30" s="2"/>
      <c r="F30" s="2"/>
      <c r="G30" s="15">
        <f>SUM(G24:G29)</f>
        <v>0</v>
      </c>
    </row>
    <row r="31" spans="1:9" ht="15" customHeight="1">
      <c r="C31" s="2"/>
      <c r="D31" s="2"/>
      <c r="E31" s="2"/>
      <c r="F31" s="2"/>
      <c r="I31" s="18"/>
    </row>
    <row r="32" spans="1:9" ht="16.05" customHeight="1">
      <c r="A32" t="s">
        <v>19</v>
      </c>
      <c r="C32" s="2"/>
      <c r="D32" s="2"/>
      <c r="E32" s="2"/>
      <c r="F32" s="2"/>
      <c r="H32" s="4"/>
      <c r="I32" s="19">
        <f>E42</f>
        <v>2350</v>
      </c>
    </row>
    <row r="33" spans="1:9" ht="15.45" customHeight="1">
      <c r="A33" s="20"/>
      <c r="C33" s="2"/>
      <c r="F33" s="2"/>
      <c r="G33" s="2"/>
      <c r="I33" s="18">
        <f>SUM(I21:I32)</f>
        <v>2350</v>
      </c>
    </row>
    <row r="34" spans="1:9" ht="15.45" customHeight="1">
      <c r="C34" s="2"/>
      <c r="D34" s="2"/>
      <c r="E34" s="2"/>
      <c r="F34" s="2"/>
      <c r="I34" s="5"/>
    </row>
    <row r="35" spans="1:9" ht="13.8">
      <c r="A35" s="3" t="s">
        <v>20</v>
      </c>
      <c r="G35" t="s">
        <v>21</v>
      </c>
      <c r="I35" s="21" t="s">
        <v>22</v>
      </c>
    </row>
    <row r="36" spans="1:9" ht="13.8">
      <c r="A36" t="s">
        <v>23</v>
      </c>
      <c r="D36" s="4"/>
      <c r="E36" s="22">
        <f>I42</f>
        <v>2350</v>
      </c>
      <c r="G36" s="23" t="s">
        <v>24</v>
      </c>
      <c r="H36" s="4"/>
      <c r="I36" s="24">
        <v>500</v>
      </c>
    </row>
    <row r="37" spans="1:9" ht="13.8">
      <c r="A37" t="s">
        <v>25</v>
      </c>
      <c r="E37" s="46"/>
      <c r="G37" s="25" t="s">
        <v>26</v>
      </c>
      <c r="I37" s="26">
        <v>450</v>
      </c>
    </row>
    <row r="38" spans="1:9" ht="13.8">
      <c r="A38" t="s">
        <v>27</v>
      </c>
      <c r="E38" s="46"/>
      <c r="G38" s="25" t="s">
        <v>28</v>
      </c>
      <c r="I38" s="26">
        <v>350</v>
      </c>
    </row>
    <row r="39" spans="1:9" ht="13.8">
      <c r="A39" t="s">
        <v>29</v>
      </c>
      <c r="E39" s="46"/>
      <c r="G39" s="25" t="s">
        <v>30</v>
      </c>
      <c r="I39" s="26">
        <v>350</v>
      </c>
    </row>
    <row r="40" spans="1:9" ht="13.8">
      <c r="A40" t="s">
        <v>13</v>
      </c>
      <c r="E40" s="46"/>
      <c r="G40" s="25" t="s">
        <v>31</v>
      </c>
      <c r="I40" s="26">
        <v>350</v>
      </c>
    </row>
    <row r="41" spans="1:9" ht="13.8">
      <c r="E41" s="22"/>
      <c r="G41" s="25" t="s">
        <v>32</v>
      </c>
      <c r="H41" s="20"/>
      <c r="I41" s="24">
        <v>350</v>
      </c>
    </row>
    <row r="42" spans="1:9" ht="14.55" customHeight="1">
      <c r="A42" s="27" t="s">
        <v>33</v>
      </c>
      <c r="B42" s="28"/>
      <c r="C42" s="28"/>
      <c r="D42" s="27"/>
      <c r="E42" s="29">
        <f>SUM(E36:E41)</f>
        <v>2350</v>
      </c>
      <c r="G42" s="10" t="s">
        <v>34</v>
      </c>
      <c r="H42" s="4"/>
      <c r="I42" s="9">
        <f>SUM(I36:I41)</f>
        <v>2350</v>
      </c>
    </row>
    <row r="44" spans="1:9" ht="13.8">
      <c r="D44" s="30" t="s">
        <v>35</v>
      </c>
      <c r="E44" s="31"/>
      <c r="F44" s="32" t="s">
        <v>4</v>
      </c>
      <c r="G44" s="33">
        <f>I11</f>
        <v>0</v>
      </c>
    </row>
    <row r="45" spans="1:9" ht="13.8">
      <c r="D45" s="34" t="s">
        <v>33</v>
      </c>
      <c r="E45" s="27"/>
      <c r="F45" s="28"/>
      <c r="G45" s="35">
        <f>I33</f>
        <v>2350</v>
      </c>
    </row>
    <row r="46" spans="1:9" ht="13.8">
      <c r="D46" s="36" t="s">
        <v>36</v>
      </c>
      <c r="G46" s="22"/>
    </row>
    <row r="47" spans="1:9" ht="16.05" customHeight="1">
      <c r="D47" s="37" t="s">
        <v>37</v>
      </c>
      <c r="E47" s="37"/>
      <c r="F47" s="38" t="s">
        <v>4</v>
      </c>
      <c r="G47" s="39">
        <f>(G44-G45)</f>
        <v>-2350</v>
      </c>
    </row>
    <row r="53" spans="1:10" ht="13.8">
      <c r="A53" s="20" t="s">
        <v>39</v>
      </c>
      <c r="B53" s="20"/>
    </row>
    <row r="55" spans="1:10" ht="13.8">
      <c r="A55" s="20" t="s">
        <v>40</v>
      </c>
      <c r="B55" s="20"/>
      <c r="C55" s="20"/>
      <c r="F55" s="20"/>
      <c r="G55" s="20"/>
      <c r="J55" s="20"/>
    </row>
    <row r="56" spans="1:10" ht="13.8">
      <c r="A56" t="s">
        <v>41</v>
      </c>
    </row>
    <row r="58" spans="1:10" ht="13.8">
      <c r="A58" s="20" t="s">
        <v>42</v>
      </c>
      <c r="B58" s="20"/>
    </row>
    <row r="60" spans="1:10" ht="13.8">
      <c r="A60" s="20" t="s">
        <v>43</v>
      </c>
      <c r="B60" s="20"/>
      <c r="C60" s="20"/>
      <c r="E60" s="20"/>
      <c r="G60" s="20" t="s">
        <v>44</v>
      </c>
      <c r="H60" s="20"/>
    </row>
    <row r="61" spans="1:10" ht="13.8">
      <c r="A61" t="s">
        <v>45</v>
      </c>
      <c r="G61" t="s">
        <v>46</v>
      </c>
    </row>
  </sheetData>
  <mergeCells count="4">
    <mergeCell ref="A1:J1"/>
    <mergeCell ref="A2:J2"/>
    <mergeCell ref="A3:I3"/>
    <mergeCell ref="A4:J4"/>
  </mergeCells>
  <pageMargins left="0.7" right="0.7" top="0.75" bottom="0.75" header="0.3" footer="0.3"/>
  <pageSetup paperSize="9" scale="78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16</vt:lpstr>
      <vt:lpstr>17</vt:lpstr>
      <vt:lpstr>18</vt:lpstr>
      <vt:lpstr>19</vt:lpstr>
      <vt:lpstr>20</vt:lpstr>
      <vt:lpstr>23</vt:lpstr>
      <vt:lpstr>24</vt:lpstr>
      <vt:lpstr>25</vt:lpstr>
      <vt:lpstr>26</vt:lpstr>
      <vt:lpstr>27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2025-05-05T03:20:01Z</cp:lastPrinted>
  <dcterms:created xsi:type="dcterms:W3CDTF">2024-08-12T01:52:01Z</dcterms:created>
  <dcterms:modified xsi:type="dcterms:W3CDTF">2026-04-22T02:48:34Z</dcterms:modified>
</cp:coreProperties>
</file>