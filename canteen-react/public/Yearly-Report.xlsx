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ithub\canteen\canteen-react\public\"/>
    </mc:Choice>
  </mc:AlternateContent>
  <xr:revisionPtr revIDLastSave="0" documentId="13_ncr:1_{4F734741-E95C-451D-A851-6D946B5238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ily" sheetId="5" r:id="rId1"/>
    <sheet name="so1" sheetId="1" r:id="rId2"/>
    <sheet name="so2" sheetId="2" r:id="rId3"/>
    <sheet name="net_income" sheetId="3" r:id="rId4"/>
    <sheet name="financial" sheetId="4" r:id="rId5"/>
  </sheets>
  <definedNames>
    <definedName name="_xlnm.Print_Area" localSheetId="0">daily!$A$2:$N$30</definedName>
    <definedName name="_xlnm.Print_Area" localSheetId="4">financial!$A$1:$E$51</definedName>
    <definedName name="_xlnm.Print_Area" localSheetId="3">net_income!$A$1:$E$43</definedName>
    <definedName name="_xlnm.Print_Area" localSheetId="1">'so1'!$A$1:$E$62</definedName>
    <definedName name="_xlnm.Print_Area" localSheetId="2">'so2'!$A$1:$E$50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t3nkhZaI6vvkmuYhLZwL18EJzq8WxB1pCN0pBG6X6Xo="/>
    </ext>
  </extLst>
</workbook>
</file>

<file path=xl/calcChain.xml><?xml version="1.0" encoding="utf-8"?>
<calcChain xmlns="http://schemas.openxmlformats.org/spreadsheetml/2006/main">
  <c r="D48" i="1" l="1"/>
  <c r="D45" i="1"/>
  <c r="D39" i="1"/>
  <c r="D35" i="1"/>
  <c r="D33" i="1"/>
  <c r="D32" i="1"/>
  <c r="D30" i="1"/>
  <c r="D28" i="1"/>
  <c r="D17" i="1"/>
  <c r="D11" i="1"/>
  <c r="M23" i="5"/>
  <c r="I23" i="5"/>
  <c r="J23" i="5"/>
  <c r="K23" i="5"/>
  <c r="H23" i="5"/>
  <c r="G23" i="5"/>
  <c r="F23" i="5"/>
  <c r="E23" i="5"/>
  <c r="D23" i="5"/>
  <c r="C23" i="5"/>
  <c r="B23" i="5"/>
  <c r="L22" i="5"/>
  <c r="N22" i="5" s="1"/>
  <c r="L21" i="5"/>
  <c r="N21" i="5" s="1"/>
  <c r="L20" i="5"/>
  <c r="N20" i="5" s="1"/>
  <c r="L19" i="5"/>
  <c r="N19" i="5" s="1"/>
  <c r="L18" i="5"/>
  <c r="N18" i="5"/>
  <c r="E27" i="4"/>
  <c r="E17" i="3"/>
  <c r="E16" i="3"/>
  <c r="E15" i="3"/>
  <c r="E14" i="3"/>
  <c r="E13" i="3"/>
  <c r="E12" i="3"/>
  <c r="E22" i="1"/>
  <c r="E19" i="3" l="1"/>
  <c r="L12" i="5" l="1"/>
  <c r="N12" i="5" s="1"/>
  <c r="L13" i="5"/>
  <c r="N13" i="5" s="1"/>
  <c r="L14" i="5"/>
  <c r="L15" i="5"/>
  <c r="N15" i="5" s="1"/>
  <c r="L16" i="5"/>
  <c r="N16" i="5" s="1"/>
  <c r="L17" i="5"/>
  <c r="N17" i="5" s="1"/>
  <c r="L11" i="5"/>
  <c r="N11" i="5" s="1"/>
  <c r="D49" i="1"/>
  <c r="N14" i="5" l="1"/>
  <c r="N23" i="5" s="1"/>
  <c r="L23" i="5"/>
  <c r="D51" i="1"/>
  <c r="D32" i="2" s="1"/>
  <c r="E28" i="4"/>
  <c r="E23" i="4"/>
  <c r="D23" i="4"/>
  <c r="E16" i="4"/>
  <c r="E31" i="2"/>
  <c r="D31" i="2"/>
  <c r="E51" i="1"/>
  <c r="E32" i="2" s="1"/>
  <c r="E15" i="1"/>
  <c r="E24" i="1" s="1"/>
  <c r="D15" i="1"/>
  <c r="D22" i="1" s="1"/>
  <c r="D24" i="1" s="1"/>
  <c r="E29" i="4" l="1"/>
  <c r="D33" i="2"/>
  <c r="D16" i="3" s="1"/>
  <c r="E33" i="2"/>
  <c r="D17" i="3" l="1"/>
  <c r="D12" i="3"/>
  <c r="D27" i="4"/>
  <c r="D28" i="4" s="1"/>
  <c r="D29" i="4" s="1"/>
  <c r="D13" i="3"/>
  <c r="D14" i="3"/>
  <c r="D15" i="3"/>
  <c r="D19" i="3" l="1"/>
  <c r="D10" i="4" s="1"/>
  <c r="D16" i="4" s="1"/>
</calcChain>
</file>

<file path=xl/sharedStrings.xml><?xml version="1.0" encoding="utf-8"?>
<sst xmlns="http://schemas.openxmlformats.org/spreadsheetml/2006/main" count="202" uniqueCount="118">
  <si>
    <t>RECTO MEMORIAL NATIONAL HIGH SCHOOL</t>
  </si>
  <si>
    <t>Brgy. Quipot, Tiaong, Quezon</t>
  </si>
  <si>
    <t>STATEMENT OF OPERATIONS</t>
  </si>
  <si>
    <t>For the Period of NOVEMBER 2025</t>
  </si>
  <si>
    <t>(ALL CANTEEN)</t>
  </si>
  <si>
    <t>DAILY TRNASACTION</t>
  </si>
  <si>
    <t>MONTH</t>
  </si>
  <si>
    <t>WAGES</t>
  </si>
  <si>
    <t>SSS</t>
  </si>
  <si>
    <t>Office Supplies</t>
  </si>
  <si>
    <t>Store Supplies</t>
  </si>
  <si>
    <t>Storage Expenses</t>
  </si>
  <si>
    <t>Delivery Charge</t>
  </si>
  <si>
    <t>Repair</t>
  </si>
  <si>
    <t>Water</t>
  </si>
  <si>
    <t>PURCHASES</t>
  </si>
  <si>
    <t>Spoilage</t>
  </si>
  <si>
    <t>TOTAL Expenses</t>
  </si>
  <si>
    <t>GROSS SALES</t>
  </si>
  <si>
    <t>NET SALES</t>
  </si>
  <si>
    <t>January</t>
  </si>
  <si>
    <t>Febuary</t>
  </si>
  <si>
    <t>March</t>
  </si>
  <si>
    <t>Arpril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</si>
  <si>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</si>
  <si>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</si>
  <si>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</si>
  <si>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</si>
  <si>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</si>
  <si>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</si>
  <si>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</si>
  <si>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</si>
  <si>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Prepared by:</t>
  </si>
  <si>
    <t>JASMIN M. DIMAUNAHAN</t>
  </si>
  <si>
    <t>SSHT I - TLE DEPARTMENT</t>
  </si>
  <si>
    <t>Audited by:</t>
  </si>
  <si>
    <t>RICKY B. ENRIQUEZ</t>
  </si>
  <si>
    <t>ODESSA B. MANGUIAT</t>
  </si>
  <si>
    <t>FSA PRESIDENT</t>
  </si>
  <si>
    <t>SSHT VI - MATH DEPARTMENT</t>
  </si>
  <si>
    <t>MEMBER</t>
  </si>
  <si>
    <t>CHAIRMAN</t>
  </si>
  <si>
    <t>Current Year</t>
  </si>
  <si>
    <t>Previous Year</t>
  </si>
  <si>
    <t>REVENUES</t>
  </si>
  <si>
    <t>Net Sales</t>
  </si>
  <si>
    <t>Sales (Gross)</t>
  </si>
  <si>
    <t>Sales Returns and Allowances</t>
  </si>
  <si>
    <t>Sales Discounts</t>
  </si>
  <si>
    <t>Cost of Sales</t>
  </si>
  <si>
    <t>Purchases</t>
  </si>
  <si>
    <t>Purchase Returns and Allowances</t>
  </si>
  <si>
    <t>Purchase Discounts</t>
  </si>
  <si>
    <t>Freight In</t>
  </si>
  <si>
    <t>Inventory</t>
  </si>
  <si>
    <t>GROSS PROFIT</t>
  </si>
  <si>
    <t>Add: Other Operating Income</t>
  </si>
  <si>
    <t>GROSS INCOME FROM OPERATIONS</t>
  </si>
  <si>
    <t>EXPENSES</t>
  </si>
  <si>
    <t>SELLING COSTS</t>
  </si>
  <si>
    <t>Salaries and Wages</t>
  </si>
  <si>
    <t>Employees' Benefits</t>
  </si>
  <si>
    <t>SSS/ECC/Philhealth/Pag-ibig Contributions</t>
  </si>
  <si>
    <t>Officers' Honorarium and Allowances</t>
  </si>
  <si>
    <t>Storage/Warehousing Expense</t>
  </si>
  <si>
    <t>Power, Light and Water</t>
  </si>
  <si>
    <t>Travel and Transportation</t>
  </si>
  <si>
    <t>Insurance</t>
  </si>
  <si>
    <t>Royalties</t>
  </si>
  <si>
    <t>Repairs and Maintenance</t>
  </si>
  <si>
    <t>Rental</t>
  </si>
  <si>
    <t>Taxes and Licenses</t>
  </si>
  <si>
    <t>Communication Expense</t>
  </si>
  <si>
    <t>Representation Expense</t>
  </si>
  <si>
    <t>Advertising and Promotion</t>
  </si>
  <si>
    <t>Spoilage and Breakage</t>
  </si>
  <si>
    <t>Privision for Probable Losses and Accounts Receivables</t>
  </si>
  <si>
    <t>Commission Expense</t>
  </si>
  <si>
    <t>delivery Expense</t>
  </si>
  <si>
    <t>Gas, Oil and Lubricants</t>
  </si>
  <si>
    <t>Depreciation and Amortization</t>
  </si>
  <si>
    <t>Total Selling Costs</t>
  </si>
  <si>
    <t>ADMINISTRATIVE COSTS</t>
  </si>
  <si>
    <t>Professional Fees</t>
  </si>
  <si>
    <t>Representation Expensse</t>
  </si>
  <si>
    <t>Periodicals, Magazines and Subcription</t>
  </si>
  <si>
    <t>Miscellaneous Expense</t>
  </si>
  <si>
    <t>Total Administrative Costs</t>
  </si>
  <si>
    <t>TOTAL EXPENSES</t>
  </si>
  <si>
    <t>NET INCOME DERIVED FROM OPERATIONS</t>
  </si>
  <si>
    <t>UTILIZATION OF NET INCOME</t>
  </si>
  <si>
    <t>Suplementary Feeding Program for Undernourished</t>
  </si>
  <si>
    <t xml:space="preserve">   Pupils/Students</t>
  </si>
  <si>
    <t>School Clinic Fund</t>
  </si>
  <si>
    <t>Faculty and Student Development Fund</t>
  </si>
  <si>
    <t>H.E. Instructional Fund</t>
  </si>
  <si>
    <t>Schools Operations Fund</t>
  </si>
  <si>
    <t>Revolving Capital</t>
  </si>
  <si>
    <t>TOTAL UTILIZATION OF NET INCOME</t>
  </si>
  <si>
    <t>STATEMENT OF FINANCIAL CONDITION</t>
  </si>
  <si>
    <t>ASSETS</t>
  </si>
  <si>
    <t>Cash and cash equivalents</t>
  </si>
  <si>
    <t>Account Receivables</t>
  </si>
  <si>
    <t>Investments</t>
  </si>
  <si>
    <t>Property, plant and equipment at cost</t>
  </si>
  <si>
    <t>Less: Accumulated depreciation</t>
  </si>
  <si>
    <t>TOTAL ASSETS</t>
  </si>
  <si>
    <t>LIABILITIES</t>
  </si>
  <si>
    <t>Trade Payable</t>
  </si>
  <si>
    <t>Interest Payable</t>
  </si>
  <si>
    <t>Income Taxes Payable</t>
  </si>
  <si>
    <t>Other Payables</t>
  </si>
  <si>
    <t>TOTAL LIABILITIES</t>
  </si>
  <si>
    <t>EQUITY</t>
  </si>
  <si>
    <t>School Revolving Capital</t>
  </si>
  <si>
    <t>Add: Net Income Derived from Operation of Canteen</t>
  </si>
  <si>
    <t>TOTAL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</si>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</sst>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₱&quot;#,##0.00;\-&quot;₱&quot;#,##0.00"/>
    <numFmt numFmtId="164" formatCode="_-* #,##0.00_-;\-* #,##0.00_-;_-* &quot;-&quot;??_-;_-@"/>
    <numFmt numFmtId="165" formatCode="d/m/yyyy"/>
    <numFmt numFmtId="166" formatCode="&quot;₱&quot;#,##0.00"/>
    <numFmt numFmtId="167" formatCode="&quot;₱&quot;#,##0.00;[Red]&quot;₱&quot;#,##0.00"/>
  </numFmts>
  <fonts count="24">
    <font>
      <sz val="11"/>
      <color theme="1"/>
      <name val="Calibri"/>
      <scheme val="minor"/>
    </font>
    <font>
      <b/>
      <sz val="16"/>
      <color theme="1"/>
      <name val="Times New Roman"/>
    </font>
    <font>
      <sz val="11"/>
      <color theme="1"/>
      <name val="Times New Roman"/>
    </font>
    <font>
      <b/>
      <sz val="14"/>
      <color theme="1"/>
      <name val="Times New Roman"/>
    </font>
    <font>
      <sz val="11"/>
      <name val="Calibri"/>
    </font>
    <font>
      <b/>
      <sz val="11"/>
      <color theme="1"/>
      <name val="Times New Roman"/>
    </font>
    <font>
      <sz val="11"/>
      <color theme="1"/>
      <name val="Calibri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Times New Roman"/>
      <family val="1"/>
    </font>
    <font>
      <sz val="11"/>
      <color rgb="FFFF0000"/>
      <name val="Calibri"/>
      <scheme val="minor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 applyFont="1" applyAlignment="1"/>
    <xf numFmtId="0" fontId="2" fillId="0" borderId="0" xfId="0" applyFont="1"/>
    <xf numFmtId="0" fontId="5" fillId="0" borderId="5" xfId="0" applyFont="1" applyBorder="1" applyAlignment="1">
      <alignment horizontal="center"/>
    </xf>
    <xf numFmtId="164" fontId="2" fillId="0" borderId="9" xfId="0" applyNumberFormat="1" applyFont="1" applyBorder="1"/>
    <xf numFmtId="164" fontId="2" fillId="0" borderId="10" xfId="0" applyNumberFormat="1" applyFont="1" applyBorder="1"/>
    <xf numFmtId="0" fontId="5" fillId="0" borderId="11" xfId="0" applyFont="1" applyBorder="1"/>
    <xf numFmtId="0" fontId="5" fillId="0" borderId="0" xfId="0" applyFont="1"/>
    <xf numFmtId="0" fontId="2" fillId="0" borderId="10" xfId="0" applyFont="1" applyBorder="1"/>
    <xf numFmtId="164" fontId="2" fillId="0" borderId="12" xfId="0" applyNumberFormat="1" applyFont="1" applyBorder="1"/>
    <xf numFmtId="165" fontId="2" fillId="0" borderId="0" xfId="0" applyNumberFormat="1" applyFont="1"/>
    <xf numFmtId="164" fontId="2" fillId="0" borderId="13" xfId="0" applyNumberFormat="1" applyFont="1" applyBorder="1"/>
    <xf numFmtId="164" fontId="2" fillId="0" borderId="14" xfId="0" applyNumberFormat="1" applyFont="1" applyBorder="1"/>
    <xf numFmtId="164" fontId="2" fillId="0" borderId="0" xfId="0" applyNumberFormat="1" applyFont="1"/>
    <xf numFmtId="0" fontId="5" fillId="0" borderId="15" xfId="0" applyFont="1" applyBorder="1"/>
    <xf numFmtId="0" fontId="2" fillId="0" borderId="16" xfId="0" applyFont="1" applyBorder="1"/>
    <xf numFmtId="0" fontId="2" fillId="0" borderId="18" xfId="0" applyFont="1" applyBorder="1"/>
    <xf numFmtId="0" fontId="2" fillId="0" borderId="14" xfId="0" applyFont="1" applyBorder="1"/>
    <xf numFmtId="0" fontId="5" fillId="0" borderId="19" xfId="0" applyFont="1" applyBorder="1"/>
    <xf numFmtId="0" fontId="5" fillId="0" borderId="10" xfId="0" applyFont="1" applyBorder="1"/>
    <xf numFmtId="164" fontId="5" fillId="0" borderId="5" xfId="0" applyNumberFormat="1" applyFont="1" applyBorder="1"/>
    <xf numFmtId="0" fontId="5" fillId="0" borderId="20" xfId="0" applyFont="1" applyBorder="1"/>
    <xf numFmtId="0" fontId="2" fillId="0" borderId="5" xfId="0" applyFont="1" applyBorder="1"/>
    <xf numFmtId="0" fontId="2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9" fontId="2" fillId="0" borderId="10" xfId="0" applyNumberFormat="1" applyFont="1" applyBorder="1" applyAlignment="1">
      <alignment horizontal="center"/>
    </xf>
    <xf numFmtId="0" fontId="5" fillId="0" borderId="22" xfId="0" applyFont="1" applyBorder="1"/>
    <xf numFmtId="0" fontId="5" fillId="0" borderId="1" xfId="0" applyFont="1" applyBorder="1"/>
    <xf numFmtId="9" fontId="2" fillId="0" borderId="16" xfId="0" applyNumberFormat="1" applyFont="1" applyBorder="1" applyAlignment="1">
      <alignment horizontal="center"/>
    </xf>
    <xf numFmtId="164" fontId="5" fillId="0" borderId="23" xfId="0" applyNumberFormat="1" applyFont="1" applyBorder="1"/>
    <xf numFmtId="164" fontId="5" fillId="0" borderId="24" xfId="0" applyNumberFormat="1" applyFont="1" applyBorder="1"/>
    <xf numFmtId="164" fontId="2" fillId="0" borderId="12" xfId="0" applyNumberFormat="1" applyFont="1" applyBorder="1" applyAlignment="1"/>
    <xf numFmtId="40" fontId="2" fillId="0" borderId="12" xfId="0" applyNumberFormat="1" applyFont="1" applyBorder="1"/>
    <xf numFmtId="0" fontId="5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4" fontId="5" fillId="0" borderId="13" xfId="0" applyNumberFormat="1" applyFont="1" applyBorder="1"/>
    <xf numFmtId="164" fontId="5" fillId="0" borderId="14" xfId="0" applyNumberFormat="1" applyFont="1" applyBorder="1"/>
    <xf numFmtId="164" fontId="2" fillId="0" borderId="8" xfId="0" applyNumberFormat="1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0" fillId="0" borderId="0" xfId="0" applyFont="1" applyAlignment="1"/>
    <xf numFmtId="0" fontId="2" fillId="0" borderId="0" xfId="0" applyFont="1" applyBorder="1"/>
    <xf numFmtId="0" fontId="5" fillId="0" borderId="0" xfId="0" applyFont="1" applyBorder="1"/>
    <xf numFmtId="164" fontId="2" fillId="0" borderId="0" xfId="0" applyNumberFormat="1" applyFont="1" applyBorder="1"/>
    <xf numFmtId="0" fontId="9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0" borderId="10" xfId="0" applyFont="1" applyBorder="1"/>
    <xf numFmtId="14" fontId="14" fillId="0" borderId="26" xfId="0" applyNumberFormat="1" applyFont="1" applyBorder="1" applyAlignment="1">
      <alignment horizontal="center" vertical="center" wrapText="1"/>
    </xf>
    <xf numFmtId="14" fontId="14" fillId="0" borderId="27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166" fontId="6" fillId="0" borderId="29" xfId="0" applyNumberFormat="1" applyFont="1" applyBorder="1" applyAlignment="1">
      <alignment horizontal="center" vertical="center"/>
    </xf>
    <xf numFmtId="166" fontId="11" fillId="0" borderId="27" xfId="0" applyNumberFormat="1" applyFont="1" applyBorder="1" applyAlignment="1"/>
    <xf numFmtId="166" fontId="11" fillId="0" borderId="27" xfId="0" applyNumberFormat="1" applyFont="1" applyBorder="1" applyAlignment="1">
      <alignment horizontal="center" vertical="center"/>
    </xf>
    <xf numFmtId="166" fontId="0" fillId="0" borderId="27" xfId="0" applyNumberFormat="1" applyFont="1" applyBorder="1" applyAlignment="1"/>
    <xf numFmtId="166" fontId="0" fillId="0" borderId="28" xfId="0" applyNumberFormat="1" applyFont="1" applyBorder="1" applyAlignment="1"/>
    <xf numFmtId="7" fontId="2" fillId="0" borderId="12" xfId="0" applyNumberFormat="1" applyFont="1" applyBorder="1" applyAlignment="1">
      <alignment horizontal="center" vertical="center"/>
    </xf>
    <xf numFmtId="7" fontId="2" fillId="0" borderId="13" xfId="0" applyNumberFormat="1" applyFont="1" applyBorder="1" applyAlignment="1">
      <alignment horizontal="center" vertical="center"/>
    </xf>
    <xf numFmtId="7" fontId="5" fillId="0" borderId="12" xfId="0" applyNumberFormat="1" applyFont="1" applyBorder="1" applyAlignment="1">
      <alignment horizontal="center" vertical="center"/>
    </xf>
    <xf numFmtId="7" fontId="5" fillId="0" borderId="17" xfId="0" applyNumberFormat="1" applyFont="1" applyBorder="1" applyAlignment="1">
      <alignment horizontal="center" vertical="center"/>
    </xf>
    <xf numFmtId="166" fontId="0" fillId="0" borderId="0" xfId="0" applyNumberFormat="1" applyFont="1" applyAlignment="1"/>
    <xf numFmtId="166" fontId="17" fillId="0" borderId="25" xfId="0" applyNumberFormat="1" applyFont="1" applyBorder="1"/>
    <xf numFmtId="166" fontId="17" fillId="0" borderId="29" xfId="0" applyNumberFormat="1" applyFont="1" applyBorder="1" applyAlignment="1">
      <alignment horizontal="center" vertical="center"/>
    </xf>
    <xf numFmtId="166" fontId="18" fillId="0" borderId="27" xfId="0" applyNumberFormat="1" applyFont="1" applyBorder="1" applyAlignment="1"/>
    <xf numFmtId="166" fontId="18" fillId="0" borderId="27" xfId="0" applyNumberFormat="1" applyFont="1" applyBorder="1" applyAlignment="1">
      <alignment horizontal="center" vertical="center"/>
    </xf>
    <xf numFmtId="0" fontId="17" fillId="0" borderId="0" xfId="0" applyFont="1" applyAlignment="1"/>
    <xf numFmtId="0" fontId="19" fillId="0" borderId="0" xfId="0" applyFont="1" applyAlignment="1">
      <alignment horizontal="right" vertical="center"/>
    </xf>
    <xf numFmtId="166" fontId="17" fillId="0" borderId="0" xfId="0" applyNumberFormat="1" applyFont="1" applyAlignment="1"/>
    <xf numFmtId="166" fontId="19" fillId="0" borderId="0" xfId="0" applyNumberFormat="1" applyFont="1" applyAlignment="1">
      <alignment horizontal="right" vertical="center"/>
    </xf>
    <xf numFmtId="166" fontId="11" fillId="0" borderId="0" xfId="0" applyNumberFormat="1" applyFont="1" applyAlignment="1"/>
    <xf numFmtId="0" fontId="0" fillId="0" borderId="0" xfId="0" applyFont="1" applyAlignment="1"/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164" fontId="2" fillId="0" borderId="36" xfId="0" applyNumberFormat="1" applyFont="1" applyBorder="1"/>
    <xf numFmtId="0" fontId="5" fillId="0" borderId="37" xfId="0" applyFont="1" applyBorder="1"/>
    <xf numFmtId="7" fontId="2" fillId="0" borderId="36" xfId="0" applyNumberFormat="1" applyFont="1" applyBorder="1" applyAlignment="1">
      <alignment horizontal="center" vertical="center"/>
    </xf>
    <xf numFmtId="7" fontId="2" fillId="0" borderId="38" xfId="0" applyNumberFormat="1" applyFont="1" applyBorder="1" applyAlignment="1">
      <alignment horizontal="center" vertical="center"/>
    </xf>
    <xf numFmtId="7" fontId="5" fillId="0" borderId="39" xfId="0" applyNumberFormat="1" applyFont="1" applyBorder="1" applyAlignment="1">
      <alignment horizontal="center" vertical="center"/>
    </xf>
    <xf numFmtId="7" fontId="5" fillId="0" borderId="36" xfId="0" applyNumberFormat="1" applyFont="1" applyBorder="1" applyAlignment="1">
      <alignment horizontal="center" vertical="center"/>
    </xf>
    <xf numFmtId="7" fontId="2" fillId="0" borderId="39" xfId="0" applyNumberFormat="1" applyFont="1" applyBorder="1" applyAlignment="1">
      <alignment horizontal="center" vertical="center"/>
    </xf>
    <xf numFmtId="0" fontId="5" fillId="0" borderId="40" xfId="0" applyFont="1" applyBorder="1"/>
    <xf numFmtId="7" fontId="5" fillId="0" borderId="41" xfId="0" applyNumberFormat="1" applyFont="1" applyBorder="1" applyAlignment="1">
      <alignment horizontal="center" vertical="center"/>
    </xf>
    <xf numFmtId="0" fontId="2" fillId="0" borderId="37" xfId="0" applyFont="1" applyBorder="1"/>
    <xf numFmtId="0" fontId="2" fillId="0" borderId="42" xfId="0" applyFont="1" applyBorder="1"/>
    <xf numFmtId="0" fontId="5" fillId="0" borderId="43" xfId="0" applyFont="1" applyBorder="1"/>
    <xf numFmtId="0" fontId="2" fillId="0" borderId="44" xfId="0" applyFont="1" applyBorder="1"/>
    <xf numFmtId="7" fontId="10" fillId="0" borderId="43" xfId="0" applyNumberFormat="1" applyFont="1" applyBorder="1" applyAlignment="1">
      <alignment horizontal="center" vertical="center"/>
    </xf>
    <xf numFmtId="7" fontId="10" fillId="0" borderId="4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/>
    <xf numFmtId="164" fontId="2" fillId="0" borderId="4" xfId="0" applyNumberFormat="1" applyFont="1" applyBorder="1"/>
    <xf numFmtId="164" fontId="2" fillId="0" borderId="21" xfId="0" applyNumberFormat="1" applyFont="1" applyBorder="1"/>
    <xf numFmtId="164" fontId="2" fillId="0" borderId="46" xfId="0" applyNumberFormat="1" applyFont="1" applyBorder="1"/>
    <xf numFmtId="164" fontId="2" fillId="0" borderId="39" xfId="0" applyNumberFormat="1" applyFont="1" applyBorder="1"/>
    <xf numFmtId="0" fontId="5" fillId="0" borderId="47" xfId="0" applyFont="1" applyBorder="1"/>
    <xf numFmtId="164" fontId="5" fillId="0" borderId="48" xfId="0" applyNumberFormat="1" applyFont="1" applyBorder="1"/>
    <xf numFmtId="0" fontId="2" fillId="0" borderId="49" xfId="0" applyFont="1" applyBorder="1"/>
    <xf numFmtId="164" fontId="2" fillId="0" borderId="48" xfId="0" applyNumberFormat="1" applyFont="1" applyBorder="1"/>
    <xf numFmtId="0" fontId="5" fillId="0" borderId="42" xfId="0" applyFont="1" applyBorder="1"/>
    <xf numFmtId="0" fontId="2" fillId="0" borderId="43" xfId="0" applyFont="1" applyBorder="1"/>
    <xf numFmtId="0" fontId="2" fillId="0" borderId="50" xfId="0" applyFont="1" applyBorder="1"/>
    <xf numFmtId="164" fontId="2" fillId="0" borderId="51" xfId="0" applyNumberFormat="1" applyFont="1" applyBorder="1"/>
    <xf numFmtId="167" fontId="17" fillId="0" borderId="25" xfId="0" applyNumberFormat="1" applyFont="1" applyBorder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0" fillId="0" borderId="27" xfId="0" applyFont="1" applyBorder="1" applyAlignment="1">
      <alignment horizontal="center"/>
    </xf>
    <xf numFmtId="166" fontId="11" fillId="0" borderId="27" xfId="0" applyNumberFormat="1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166" fontId="22" fillId="0" borderId="27" xfId="0" applyNumberFormat="1" applyFont="1" applyBorder="1" applyAlignment="1">
      <alignment horizontal="center"/>
    </xf>
    <xf numFmtId="166" fontId="22" fillId="0" borderId="28" xfId="0" applyNumberFormat="1" applyFont="1" applyBorder="1" applyAlignment="1">
      <alignment horizontal="center"/>
    </xf>
    <xf numFmtId="166" fontId="23" fillId="0" borderId="29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4" fillId="0" borderId="31" xfId="0" applyFont="1" applyBorder="1" applyAlignment="1"/>
    <xf numFmtId="0" fontId="4" fillId="0" borderId="32" xfId="0" applyFont="1" applyBorder="1" applyAlignment="1"/>
    <xf numFmtId="0" fontId="2" fillId="0" borderId="35" xfId="0" applyFont="1" applyBorder="1" applyAlignment="1">
      <alignment horizontal="center"/>
    </xf>
    <xf numFmtId="0" fontId="4" fillId="0" borderId="7" xfId="0" applyFont="1" applyBorder="1" applyAlignment="1"/>
    <xf numFmtId="0" fontId="4" fillId="0" borderId="8" xfId="0" applyFont="1" applyBorder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0" fillId="0" borderId="0" xfId="0" applyFont="1" applyBorder="1" applyAlignment="1"/>
    <xf numFmtId="0" fontId="2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1" xfId="0" applyFont="1" applyBorder="1" applyAlignment="1"/>
    <xf numFmtId="0" fontId="2" fillId="0" borderId="2" xfId="0" applyFont="1" applyBorder="1" applyAlignment="1">
      <alignment horizontal="center"/>
    </xf>
    <xf numFmtId="0" fontId="4" fillId="0" borderId="3" xfId="0" applyFont="1" applyBorder="1" applyAlignment="1"/>
    <xf numFmtId="0" fontId="4" fillId="0" borderId="4" xfId="0" applyFont="1" applyBorder="1" applyAlignment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62"/>
  <sheetViews>
    <sheetView topLeftCell="A5" zoomScaleNormal="100" workbookViewId="0">
      <selection activeCell="Q10" sqref="Q10"/>
    </sheetView>
  </sheetViews>
  <sheetFormatPr defaultColWidth="14.44140625" defaultRowHeight="15" customHeight="1"/>
  <cols>
    <col min="1" max="1" width="11.109375" customWidth="1"/>
    <col min="2" max="2" width="11.44140625" customWidth="1"/>
    <col min="3" max="3" width="9.5546875" customWidth="1"/>
    <col min="4" max="4" width="8.88671875" customWidth="1"/>
    <col min="5" max="5" width="11.33203125" customWidth="1"/>
    <col min="6" max="6" width="11.44140625" customWidth="1"/>
    <col min="7" max="7" width="8.6640625" customWidth="1"/>
    <col min="8" max="8" width="7" customWidth="1"/>
    <col min="9" max="9" width="6.33203125" customWidth="1"/>
    <col min="10" max="10" width="13.44140625" customWidth="1"/>
    <col min="11" max="11" width="7.6640625" customWidth="1"/>
    <col min="12" max="12" width="11.5546875" customWidth="1"/>
    <col min="13" max="13" width="12.88671875" customWidth="1"/>
    <col min="14" max="14" width="12.109375" customWidth="1"/>
    <col min="15" max="15" width="8.6640625" customWidth="1"/>
    <col min="16" max="16" width="10.109375" customWidth="1"/>
    <col min="17" max="26" width="8.6640625" customWidth="1"/>
  </cols>
  <sheetData>
    <row r="1" spans="1:16" s="79" customFormat="1" ht="15" customHeight="1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16" s="79" customFormat="1" ht="15" customHeight="1">
      <c r="A2" s="122" t="s">
        <v>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13"/>
      <c r="P2" s="113"/>
    </row>
    <row r="3" spans="1:16" s="79" customFormat="1" ht="15" customHeight="1">
      <c r="A3" s="121" t="s">
        <v>1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13"/>
      <c r="P3" s="113"/>
    </row>
    <row r="4" spans="1:16" s="79" customFormat="1" ht="11.1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3"/>
      <c r="P4" s="113"/>
    </row>
    <row r="5" spans="1:16" s="79" customFormat="1" ht="15" customHeight="1">
      <c r="A5" s="123" t="s">
        <v>2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13"/>
      <c r="P5" s="113"/>
    </row>
    <row r="6" spans="1:16" s="79" customFormat="1" ht="15" customHeight="1">
      <c r="A6" s="124" t="s">
        <v>3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13"/>
      <c r="P6" s="113"/>
    </row>
    <row r="7" spans="1:16" s="79" customFormat="1" ht="15" customHeight="1">
      <c r="A7" s="125" t="s">
        <v>4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13"/>
      <c r="P7" s="113"/>
    </row>
    <row r="8" spans="1:16" s="46" customFormat="1" ht="12.6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</row>
    <row r="9" spans="1:16" s="50" customFormat="1" ht="18.899999999999999" customHeight="1">
      <c r="A9" s="120" t="s">
        <v>5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</row>
    <row r="10" spans="1:16" s="53" customFormat="1" ht="30" customHeight="1">
      <c r="A10" s="51" t="s">
        <v>6</v>
      </c>
      <c r="B10" s="51" t="s">
        <v>7</v>
      </c>
      <c r="C10" s="51" t="s">
        <v>8</v>
      </c>
      <c r="D10" s="51" t="s">
        <v>9</v>
      </c>
      <c r="E10" s="51" t="s">
        <v>10</v>
      </c>
      <c r="F10" s="51" t="s">
        <v>11</v>
      </c>
      <c r="G10" s="51" t="s">
        <v>12</v>
      </c>
      <c r="H10" s="51" t="s">
        <v>13</v>
      </c>
      <c r="I10" s="51" t="s">
        <v>14</v>
      </c>
      <c r="J10" s="51" t="s">
        <v>15</v>
      </c>
      <c r="K10" s="52" t="s">
        <v>16</v>
      </c>
      <c r="L10" s="58" t="s">
        <v>17</v>
      </c>
      <c r="M10" s="59" t="s">
        <v>18</v>
      </c>
      <c r="N10" s="59" t="s">
        <v>19</v>
      </c>
    </row>
    <row r="11" spans="1:16" s="74" customFormat="1" ht="18" customHeight="1">
      <c r="A11" s="55" t="s">
        <v>20</v>
      </c>
      <c r="B11" s="111"/>
      <c r="C11" s="111"/>
      <c r="D11" s="111"/>
      <c r="E11" s="111"/>
      <c r="F11" s="111"/>
      <c r="G11" s="111"/>
      <c r="H11" s="111"/>
      <c r="I11" s="111"/>
      <c r="J11" s="111"/>
      <c r="K11" s="70"/>
      <c r="L11" s="71">
        <f>SUM(B11:K11)</f>
        <v>0</v>
      </c>
      <c r="M11" s="72"/>
      <c r="N11" s="73">
        <f>SUM(M11-L11)</f>
        <v>0</v>
      </c>
    </row>
    <row r="12" spans="1:16" s="74" customFormat="1" ht="18" customHeight="1">
      <c r="A12" s="55" t="s">
        <v>21</v>
      </c>
      <c r="B12" s="111"/>
      <c r="C12" s="111"/>
      <c r="D12" s="111"/>
      <c r="E12" s="111"/>
      <c r="F12" s="111"/>
      <c r="G12" s="111"/>
      <c r="H12" s="111"/>
      <c r="I12" s="111"/>
      <c r="J12" s="111"/>
      <c r="K12" s="70"/>
      <c r="L12" s="71">
        <f t="shared" ref="L12:L18" si="0">SUM(B12:K12)</f>
        <v>0</v>
      </c>
      <c r="M12" s="72"/>
      <c r="N12" s="73">
        <f t="shared" ref="N12:N18" si="1">SUM(M12-L12)</f>
        <v>0</v>
      </c>
    </row>
    <row r="13" spans="1:16" s="74" customFormat="1" ht="18" customHeight="1">
      <c r="A13" s="55" t="s">
        <v>22</v>
      </c>
      <c r="B13" s="111"/>
      <c r="C13" s="111"/>
      <c r="D13" s="111"/>
      <c r="E13" s="111"/>
      <c r="F13" s="111"/>
      <c r="G13" s="111"/>
      <c r="H13" s="111"/>
      <c r="I13" s="111"/>
      <c r="J13" s="111"/>
      <c r="K13" s="70"/>
      <c r="L13" s="71">
        <f t="shared" si="0"/>
        <v>0</v>
      </c>
      <c r="M13" s="72"/>
      <c r="N13" s="73">
        <f t="shared" si="1"/>
        <v>0</v>
      </c>
    </row>
    <row r="14" spans="1:16" s="74" customFormat="1" ht="18" customHeight="1">
      <c r="A14" s="55" t="s">
        <v>23</v>
      </c>
      <c r="B14" s="111"/>
      <c r="C14" s="111"/>
      <c r="D14" s="111"/>
      <c r="E14" s="111"/>
      <c r="F14" s="111"/>
      <c r="G14" s="111"/>
      <c r="H14" s="111"/>
      <c r="I14" s="111"/>
      <c r="J14" s="111"/>
      <c r="K14" s="70"/>
      <c r="L14" s="71">
        <f t="shared" si="0"/>
        <v>0</v>
      </c>
      <c r="M14" s="72"/>
      <c r="N14" s="73">
        <f t="shared" si="1"/>
        <v>0</v>
      </c>
      <c r="P14" s="76"/>
    </row>
    <row r="15" spans="1:16" ht="15.75" customHeight="1">
      <c r="A15" s="56" t="s">
        <v>24</v>
      </c>
      <c r="B15" s="63"/>
      <c r="C15" s="63"/>
      <c r="D15" s="63"/>
      <c r="E15" s="63"/>
      <c r="F15" s="63"/>
      <c r="G15" s="63"/>
      <c r="H15" s="63"/>
      <c r="I15" s="63"/>
      <c r="J15" s="63"/>
      <c r="K15" s="64"/>
      <c r="L15" s="60">
        <f t="shared" si="0"/>
        <v>0</v>
      </c>
      <c r="M15" s="61"/>
      <c r="N15" s="62">
        <f t="shared" si="1"/>
        <v>0</v>
      </c>
      <c r="O15" s="113"/>
      <c r="P15" s="69"/>
    </row>
    <row r="16" spans="1:16" ht="15.75" customHeight="1">
      <c r="A16" s="114" t="s">
        <v>25</v>
      </c>
      <c r="B16" s="63"/>
      <c r="C16" s="63"/>
      <c r="D16" s="63"/>
      <c r="E16" s="63"/>
      <c r="F16" s="63"/>
      <c r="G16" s="63"/>
      <c r="H16" s="63"/>
      <c r="I16" s="63"/>
      <c r="J16" s="63"/>
      <c r="K16" s="64"/>
      <c r="L16" s="60">
        <f t="shared" si="0"/>
        <v>0</v>
      </c>
      <c r="M16" s="61"/>
      <c r="N16" s="62">
        <f t="shared" si="1"/>
        <v>0</v>
      </c>
      <c r="O16" s="113"/>
      <c r="P16" s="69"/>
    </row>
    <row r="17" spans="1:17" ht="15.75" customHeight="1">
      <c r="A17" s="114" t="s">
        <v>26</v>
      </c>
      <c r="B17" s="63"/>
      <c r="C17" s="63"/>
      <c r="D17" s="63"/>
      <c r="E17" s="63"/>
      <c r="F17" s="63"/>
      <c r="G17" s="63"/>
      <c r="H17" s="63"/>
      <c r="I17" s="63"/>
      <c r="J17" s="63"/>
      <c r="K17" s="64"/>
      <c r="L17" s="60">
        <f t="shared" si="0"/>
        <v>0</v>
      </c>
      <c r="M17" s="61"/>
      <c r="N17" s="62">
        <f t="shared" si="1"/>
        <v>0</v>
      </c>
      <c r="O17" s="113"/>
      <c r="P17" s="76"/>
      <c r="Q17" s="74"/>
    </row>
    <row r="18" spans="1:17" ht="15.75" customHeight="1">
      <c r="A18" s="114" t="s">
        <v>27</v>
      </c>
      <c r="B18" s="63"/>
      <c r="C18" s="63"/>
      <c r="D18" s="63"/>
      <c r="E18" s="63"/>
      <c r="F18" s="63"/>
      <c r="G18" s="63"/>
      <c r="H18" s="63"/>
      <c r="I18" s="63"/>
      <c r="J18" s="63"/>
      <c r="K18" s="64"/>
      <c r="L18" s="60">
        <f t="shared" si="0"/>
        <v>0</v>
      </c>
      <c r="M18" s="61"/>
      <c r="N18" s="62">
        <f t="shared" si="1"/>
        <v>0</v>
      </c>
      <c r="O18" s="113"/>
      <c r="P18" s="76"/>
      <c r="Q18" s="74"/>
    </row>
    <row r="19" spans="1:17" s="57" customFormat="1" ht="15.75" customHeight="1">
      <c r="A19" s="114" t="s">
        <v>28</v>
      </c>
      <c r="B19" s="63"/>
      <c r="C19" s="63"/>
      <c r="D19" s="63"/>
      <c r="E19" s="63"/>
      <c r="F19" s="63"/>
      <c r="G19" s="63"/>
      <c r="H19" s="63"/>
      <c r="I19" s="63"/>
      <c r="J19" s="63"/>
      <c r="K19" s="64"/>
      <c r="L19" s="60">
        <f t="shared" ref="L19:L22" si="2">SUM(B19:K19)</f>
        <v>0</v>
      </c>
      <c r="M19" s="61"/>
      <c r="N19" s="62">
        <f t="shared" ref="N19:N22" si="3">SUM(M19-L19)</f>
        <v>0</v>
      </c>
      <c r="P19" s="77"/>
      <c r="Q19" s="75"/>
    </row>
    <row r="20" spans="1:17" ht="15.75" customHeight="1">
      <c r="A20" s="114" t="s">
        <v>29</v>
      </c>
      <c r="B20" s="63"/>
      <c r="C20" s="63"/>
      <c r="D20" s="63"/>
      <c r="E20" s="63"/>
      <c r="F20" s="63"/>
      <c r="G20" s="63"/>
      <c r="H20" s="63"/>
      <c r="I20" s="63"/>
      <c r="J20" s="63"/>
      <c r="K20" s="64"/>
      <c r="L20" s="60">
        <f t="shared" si="2"/>
        <v>0</v>
      </c>
      <c r="M20" s="61"/>
      <c r="N20" s="62">
        <f t="shared" si="3"/>
        <v>0</v>
      </c>
      <c r="O20" s="113"/>
      <c r="P20" s="78"/>
      <c r="Q20" s="113"/>
    </row>
    <row r="21" spans="1:17" ht="15.75" customHeight="1">
      <c r="A21" s="114" t="s">
        <v>30</v>
      </c>
      <c r="B21" s="63"/>
      <c r="C21" s="63"/>
      <c r="D21" s="63"/>
      <c r="E21" s="63"/>
      <c r="F21" s="63"/>
      <c r="G21" s="63"/>
      <c r="H21" s="63"/>
      <c r="I21" s="63"/>
      <c r="J21" s="63"/>
      <c r="K21" s="64"/>
      <c r="L21" s="60">
        <f t="shared" si="2"/>
        <v>0</v>
      </c>
      <c r="M21" s="61"/>
      <c r="N21" s="62">
        <f t="shared" si="3"/>
        <v>0</v>
      </c>
      <c r="O21" s="113"/>
      <c r="P21" s="69"/>
      <c r="Q21" s="113"/>
    </row>
    <row r="22" spans="1:17" ht="15.75" customHeight="1">
      <c r="A22" s="114" t="s">
        <v>31</v>
      </c>
      <c r="B22" s="63"/>
      <c r="C22" s="63"/>
      <c r="D22" s="63"/>
      <c r="E22" s="63"/>
      <c r="F22" s="63"/>
      <c r="G22" s="63"/>
      <c r="H22" s="63"/>
      <c r="I22" s="63"/>
      <c r="J22" s="63"/>
      <c r="K22" s="64"/>
      <c r="L22" s="60">
        <f t="shared" si="2"/>
        <v>0</v>
      </c>
      <c r="M22" s="61"/>
      <c r="N22" s="62">
        <f t="shared" si="3"/>
        <v>0</v>
      </c>
      <c r="O22" s="113"/>
      <c r="P22" s="113"/>
      <c r="Q22" s="113"/>
    </row>
    <row r="23" spans="1:17" ht="15.75" customHeight="1">
      <c r="A23" s="116"/>
      <c r="B23" s="117">
        <f>SUM(B11:C22)</f>
        <v>0</v>
      </c>
      <c r="C23" s="117">
        <f>SUM(C11:C22)</f>
        <v>0</v>
      </c>
      <c r="D23" s="117">
        <f>SUM(E11:E18)</f>
        <v>0</v>
      </c>
      <c r="E23" s="117">
        <f t="shared" ref="E23:N23" si="4">SUM(E11:E22)</f>
        <v>0</v>
      </c>
      <c r="F23" s="117">
        <f t="shared" si="4"/>
        <v>0</v>
      </c>
      <c r="G23" s="117">
        <f t="shared" si="4"/>
        <v>0</v>
      </c>
      <c r="H23" s="117">
        <f t="shared" si="4"/>
        <v>0</v>
      </c>
      <c r="I23" s="117">
        <f t="shared" si="4"/>
        <v>0</v>
      </c>
      <c r="J23" s="117">
        <f t="shared" si="4"/>
        <v>0</v>
      </c>
      <c r="K23" s="118">
        <f t="shared" si="4"/>
        <v>0</v>
      </c>
      <c r="L23" s="119">
        <f t="shared" si="4"/>
        <v>0</v>
      </c>
      <c r="M23" s="115">
        <f t="shared" si="4"/>
        <v>0</v>
      </c>
      <c r="N23" s="62">
        <f t="shared" si="4"/>
        <v>0</v>
      </c>
      <c r="O23" s="113"/>
      <c r="P23" s="113"/>
      <c r="Q23" s="113"/>
    </row>
    <row r="24" spans="1:17" ht="15.75" customHeight="1">
      <c r="A24" s="113"/>
      <c r="B24" s="39"/>
      <c r="C24" s="39"/>
      <c r="D24" s="41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</row>
    <row r="25" spans="1:17" ht="15.75" customHeight="1">
      <c r="A25" s="113"/>
      <c r="B25" s="39" t="s">
        <v>32</v>
      </c>
      <c r="C25" s="39"/>
      <c r="D25" s="39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</row>
    <row r="26" spans="1:17" ht="15.75" customHeight="1">
      <c r="A26" s="113"/>
      <c r="B26" s="39"/>
      <c r="C26" s="40"/>
      <c r="D26" s="40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</row>
    <row r="27" spans="1:17" ht="15.75" customHeight="1">
      <c r="A27" s="113"/>
      <c r="B27" s="41" t="s">
        <v>33</v>
      </c>
      <c r="C27" s="39"/>
      <c r="D27" s="41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</row>
    <row r="28" spans="1:17" ht="15.75" customHeight="1">
      <c r="A28" s="113"/>
      <c r="B28" s="39" t="s">
        <v>34</v>
      </c>
      <c r="C28" s="39"/>
      <c r="D28" s="41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</row>
    <row r="29" spans="1:17" ht="15.75" customHeight="1">
      <c r="A29" s="113"/>
      <c r="B29" s="39"/>
      <c r="C29" s="39"/>
      <c r="D29" s="39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</row>
    <row r="30" spans="1:17" ht="15.75" customHeight="1">
      <c r="A30" s="113"/>
      <c r="B30" s="39" t="s">
        <v>35</v>
      </c>
      <c r="C30" s="39"/>
      <c r="D30" s="39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</row>
    <row r="31" spans="1:17" ht="15.75" customHeight="1">
      <c r="A31" s="113"/>
      <c r="B31" s="39"/>
      <c r="C31" s="39"/>
      <c r="D31" s="41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</row>
    <row r="32" spans="1:17" ht="15.75" customHeight="1">
      <c r="A32" s="113"/>
      <c r="B32" s="41"/>
      <c r="C32" s="41" t="s">
        <v>36</v>
      </c>
      <c r="D32" s="42"/>
      <c r="E32" s="113"/>
      <c r="F32" s="113"/>
      <c r="G32" s="113"/>
      <c r="H32" s="42"/>
      <c r="I32" s="113"/>
      <c r="J32" s="113"/>
      <c r="K32" s="113"/>
      <c r="L32" s="42" t="s">
        <v>37</v>
      </c>
      <c r="M32" s="113"/>
      <c r="N32" s="113"/>
      <c r="O32" s="113"/>
      <c r="P32" s="113"/>
      <c r="Q32" s="113"/>
    </row>
    <row r="33" spans="1:14" ht="15.75" customHeight="1">
      <c r="A33" s="113"/>
      <c r="B33" s="39"/>
      <c r="C33" s="39" t="s">
        <v>38</v>
      </c>
      <c r="D33" s="43"/>
      <c r="E33" s="113"/>
      <c r="F33" s="113"/>
      <c r="G33" s="113"/>
      <c r="H33" s="43"/>
      <c r="I33" s="113"/>
      <c r="J33" s="113"/>
      <c r="K33" s="113"/>
      <c r="L33" s="43" t="s">
        <v>39</v>
      </c>
      <c r="M33" s="113"/>
      <c r="N33" s="113"/>
    </row>
    <row r="34" spans="1:14" ht="15.75" customHeight="1">
      <c r="A34" s="113"/>
      <c r="B34" s="1"/>
      <c r="C34" s="39" t="s">
        <v>40</v>
      </c>
      <c r="D34" s="43"/>
      <c r="E34" s="113"/>
      <c r="F34" s="113"/>
      <c r="G34" s="113"/>
      <c r="H34" s="43"/>
      <c r="I34" s="113"/>
      <c r="J34" s="113"/>
      <c r="K34" s="113"/>
      <c r="L34" s="43" t="s">
        <v>41</v>
      </c>
      <c r="M34" s="113"/>
      <c r="N34" s="113"/>
    </row>
    <row r="35" spans="1:14" ht="15.75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</row>
    <row r="36" spans="1:14" ht="15.75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</row>
    <row r="37" spans="1:14" ht="15.75" customHeight="1">
      <c r="A37" s="113"/>
      <c r="B37" s="39"/>
      <c r="C37" s="40"/>
      <c r="D37" s="40"/>
      <c r="E37" s="113"/>
      <c r="F37" s="113"/>
      <c r="G37" s="113"/>
      <c r="H37" s="113"/>
      <c r="I37" s="113"/>
      <c r="J37" s="113"/>
      <c r="K37" s="113"/>
      <c r="L37" s="113"/>
      <c r="M37" s="113"/>
      <c r="N37" s="113"/>
    </row>
    <row r="38" spans="1:14" ht="15.75" customHeight="1">
      <c r="A38" s="113"/>
      <c r="B38" s="41"/>
      <c r="C38" s="39"/>
      <c r="D38" s="41"/>
      <c r="E38" s="113"/>
      <c r="F38" s="113"/>
      <c r="G38" s="113"/>
      <c r="H38" s="113"/>
      <c r="I38" s="113"/>
      <c r="J38" s="113"/>
      <c r="K38" s="113"/>
      <c r="L38" s="113"/>
      <c r="M38" s="113"/>
      <c r="N38" s="113"/>
    </row>
    <row r="39" spans="1:14" ht="15.75" customHeight="1">
      <c r="A39" s="113"/>
      <c r="B39" s="39"/>
      <c r="C39" s="39"/>
      <c r="D39" s="41"/>
      <c r="E39" s="113"/>
      <c r="F39" s="113"/>
      <c r="G39" s="113"/>
      <c r="H39" s="113"/>
      <c r="I39" s="113"/>
      <c r="J39" s="113"/>
      <c r="K39" s="113"/>
      <c r="L39" s="113"/>
      <c r="M39" s="113"/>
      <c r="N39" s="113"/>
    </row>
    <row r="40" spans="1:14" ht="15.75" customHeight="1">
      <c r="A40" s="113"/>
      <c r="B40" s="39"/>
      <c r="C40" s="39"/>
      <c r="D40" s="39"/>
      <c r="E40" s="113"/>
      <c r="F40" s="113"/>
      <c r="G40" s="113"/>
      <c r="H40" s="113"/>
      <c r="I40" s="113"/>
      <c r="J40" s="113"/>
      <c r="K40" s="113"/>
      <c r="L40" s="113"/>
      <c r="M40" s="113"/>
      <c r="N40" s="113"/>
    </row>
    <row r="41" spans="1:14" ht="15.75" customHeight="1">
      <c r="A41" s="113"/>
      <c r="B41" s="39"/>
      <c r="C41" s="39"/>
      <c r="D41" s="39"/>
      <c r="E41" s="113"/>
      <c r="F41" s="113"/>
      <c r="G41" s="113"/>
      <c r="H41" s="113"/>
      <c r="I41" s="113"/>
      <c r="J41" s="113"/>
      <c r="K41" s="113"/>
      <c r="L41" s="113"/>
      <c r="M41" s="113"/>
      <c r="N41" s="113"/>
    </row>
    <row r="42" spans="1:14" ht="15.75" customHeight="1">
      <c r="A42" s="113"/>
      <c r="B42" s="39"/>
      <c r="C42" s="39"/>
      <c r="D42" s="41"/>
      <c r="E42" s="113"/>
      <c r="F42" s="113"/>
      <c r="G42" s="113"/>
      <c r="H42" s="113"/>
      <c r="I42" s="113"/>
      <c r="J42" s="113"/>
      <c r="K42" s="113"/>
      <c r="L42" s="113"/>
      <c r="M42" s="113"/>
      <c r="N42" s="113"/>
    </row>
    <row r="43" spans="1:14" ht="15.75" customHeight="1">
      <c r="A43" s="113"/>
      <c r="B43" s="41"/>
      <c r="C43" s="41"/>
      <c r="D43" s="42"/>
      <c r="E43" s="113"/>
      <c r="F43" s="113"/>
      <c r="G43" s="113"/>
      <c r="H43" s="42"/>
      <c r="I43" s="113"/>
      <c r="J43" s="113"/>
      <c r="K43" s="113"/>
      <c r="L43" s="42"/>
      <c r="M43" s="113"/>
      <c r="N43" s="113"/>
    </row>
    <row r="44" spans="1:14" ht="15.75" customHeight="1">
      <c r="A44" s="113"/>
      <c r="B44" s="39"/>
      <c r="C44" s="39"/>
      <c r="D44" s="43"/>
      <c r="E44" s="113"/>
      <c r="F44" s="113"/>
      <c r="G44" s="113"/>
      <c r="H44" s="43"/>
      <c r="I44" s="113"/>
      <c r="J44" s="113"/>
      <c r="K44" s="113"/>
      <c r="L44" s="43"/>
      <c r="M44" s="113"/>
      <c r="N44" s="113"/>
    </row>
    <row r="45" spans="1:14" ht="15.75" customHeight="1">
      <c r="A45" s="113"/>
      <c r="B45" s="1"/>
      <c r="C45" s="39"/>
      <c r="D45" s="43"/>
      <c r="E45" s="113"/>
      <c r="F45" s="113"/>
      <c r="G45" s="113"/>
      <c r="H45" s="43"/>
      <c r="I45" s="113"/>
      <c r="J45" s="113"/>
      <c r="K45" s="113"/>
      <c r="L45" s="43"/>
      <c r="M45" s="113"/>
      <c r="N45" s="113"/>
    </row>
    <row r="46" spans="1:14" ht="15.75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</row>
    <row r="47" spans="1:14" ht="15.75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</row>
    <row r="48" spans="1:14" ht="15.75" customHeight="1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</sheetData>
  <mergeCells count="6">
    <mergeCell ref="A9:N9"/>
    <mergeCell ref="A3:N3"/>
    <mergeCell ref="A2:N2"/>
    <mergeCell ref="A5:N5"/>
    <mergeCell ref="A6:N6"/>
    <mergeCell ref="A7:N7"/>
  </mergeCells>
  <pageMargins left="0.23622047244094491" right="0.23622047244094491" top="0.55118110236220474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28" zoomScaleNormal="100" zoomScaleSheetLayoutView="89" workbookViewId="0">
      <selection activeCell="D53" sqref="D53"/>
    </sheetView>
  </sheetViews>
  <sheetFormatPr defaultColWidth="14.44140625" defaultRowHeight="15" customHeight="1"/>
  <cols>
    <col min="1" max="2" width="6.33203125" customWidth="1"/>
    <col min="3" max="3" width="60.109375" customWidth="1"/>
    <col min="4" max="5" width="19.109375" customWidth="1"/>
    <col min="6" max="7" width="8.6640625" customWidth="1"/>
    <col min="8" max="8" width="11.44140625" customWidth="1"/>
    <col min="9" max="26" width="8.6640625" customWidth="1"/>
  </cols>
  <sheetData>
    <row r="1" spans="1:26" ht="18" customHeight="1">
      <c r="A1" s="132" t="s">
        <v>0</v>
      </c>
      <c r="B1" s="133"/>
      <c r="C1" s="133"/>
      <c r="D1" s="133"/>
      <c r="E1" s="13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4" customHeight="1">
      <c r="A2" s="121" t="s">
        <v>1</v>
      </c>
      <c r="B2" s="133"/>
      <c r="C2" s="133"/>
      <c r="D2" s="133"/>
      <c r="E2" s="13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.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399999999999999">
      <c r="A4" s="123" t="s">
        <v>2</v>
      </c>
      <c r="B4" s="133"/>
      <c r="C4" s="133"/>
      <c r="D4" s="133"/>
      <c r="E4" s="13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24" t="s">
        <v>3</v>
      </c>
      <c r="B5" s="133"/>
      <c r="C5" s="133"/>
      <c r="D5" s="133"/>
      <c r="E5" s="13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thickBot="1">
      <c r="A6" s="125" t="s">
        <v>4</v>
      </c>
      <c r="B6" s="134"/>
      <c r="C6" s="134"/>
      <c r="D6" s="134"/>
      <c r="E6" s="13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>
      <c r="A7" s="126"/>
      <c r="B7" s="127"/>
      <c r="C7" s="128"/>
      <c r="D7" s="80" t="s">
        <v>42</v>
      </c>
      <c r="E7" s="81" t="s">
        <v>43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29"/>
      <c r="B8" s="130"/>
      <c r="C8" s="131"/>
      <c r="D8" s="3"/>
      <c r="E8" s="8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83" t="s">
        <v>44</v>
      </c>
      <c r="B9" s="48"/>
      <c r="C9" s="7"/>
      <c r="D9" s="8"/>
      <c r="E9" s="8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83"/>
      <c r="B10" s="47" t="s">
        <v>45</v>
      </c>
      <c r="C10" s="7"/>
      <c r="D10" s="8"/>
      <c r="E10" s="8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83"/>
      <c r="B11" s="48"/>
      <c r="C11" s="7" t="s">
        <v>46</v>
      </c>
      <c r="D11" s="65">
        <f>daily!M23</f>
        <v>0</v>
      </c>
      <c r="E11" s="84">
        <v>1164828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83"/>
      <c r="B12" s="48"/>
      <c r="C12" s="7" t="s">
        <v>47</v>
      </c>
      <c r="D12" s="65">
        <v>0</v>
      </c>
      <c r="E12" s="84">
        <v>0</v>
      </c>
      <c r="F12" s="1"/>
      <c r="G12" s="1"/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83"/>
      <c r="B13" s="48"/>
      <c r="C13" s="7" t="s">
        <v>48</v>
      </c>
      <c r="D13" s="65">
        <v>0</v>
      </c>
      <c r="E13" s="84">
        <v>0</v>
      </c>
      <c r="F13" s="1"/>
      <c r="G13" s="1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83"/>
      <c r="B14" s="48"/>
      <c r="C14" s="7"/>
      <c r="D14" s="66"/>
      <c r="E14" s="85"/>
      <c r="F14" s="1"/>
      <c r="G14" s="1"/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83"/>
      <c r="B15" s="47"/>
      <c r="C15" s="7"/>
      <c r="D15" s="67">
        <f t="shared" ref="D15:E15" si="0">SUM(D9:D14)</f>
        <v>0</v>
      </c>
      <c r="E15" s="86">
        <f t="shared" si="0"/>
        <v>1164828</v>
      </c>
      <c r="F15" s="1"/>
      <c r="G15" s="1"/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83"/>
      <c r="B16" s="47" t="s">
        <v>49</v>
      </c>
      <c r="C16" s="7"/>
      <c r="D16" s="67"/>
      <c r="E16" s="8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83"/>
      <c r="B17" s="48"/>
      <c r="C17" s="7" t="s">
        <v>50</v>
      </c>
      <c r="D17" s="65">
        <f>daily!J23</f>
        <v>0</v>
      </c>
      <c r="E17" s="84">
        <v>842318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83"/>
      <c r="B18" s="48"/>
      <c r="C18" s="7" t="s">
        <v>51</v>
      </c>
      <c r="D18" s="65">
        <v>0</v>
      </c>
      <c r="E18" s="84">
        <v>0</v>
      </c>
      <c r="F18" s="1"/>
      <c r="G18" s="1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83"/>
      <c r="B19" s="48"/>
      <c r="C19" s="7" t="s">
        <v>52</v>
      </c>
      <c r="D19" s="65">
        <v>0</v>
      </c>
      <c r="E19" s="84">
        <v>0</v>
      </c>
      <c r="F19" s="1"/>
      <c r="G19" s="1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83"/>
      <c r="B20" s="48"/>
      <c r="C20" s="7" t="s">
        <v>53</v>
      </c>
      <c r="D20" s="65">
        <v>0</v>
      </c>
      <c r="E20" s="84">
        <v>0</v>
      </c>
      <c r="F20" s="1"/>
      <c r="G20" s="1"/>
      <c r="H20" s="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83"/>
      <c r="B21" s="48"/>
      <c r="C21" s="7" t="s">
        <v>54</v>
      </c>
      <c r="D21" s="66"/>
      <c r="E21" s="85">
        <v>42570</v>
      </c>
      <c r="F21" s="1"/>
      <c r="G21" s="1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83"/>
      <c r="B22" s="48" t="s">
        <v>55</v>
      </c>
      <c r="C22" s="7"/>
      <c r="D22" s="65">
        <f>D15-D17-D21</f>
        <v>0</v>
      </c>
      <c r="E22" s="88">
        <f>SUM(E15-E17-E21)</f>
        <v>279940</v>
      </c>
      <c r="F22" s="1"/>
      <c r="G22" s="1"/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83"/>
      <c r="B23" s="48" t="s">
        <v>56</v>
      </c>
      <c r="C23" s="7"/>
      <c r="D23" s="65">
        <v>0</v>
      </c>
      <c r="E23" s="84">
        <v>0</v>
      </c>
      <c r="F23" s="1"/>
      <c r="G23" s="1"/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thickBot="1">
      <c r="A24" s="89"/>
      <c r="B24" s="13" t="s">
        <v>57</v>
      </c>
      <c r="C24" s="14"/>
      <c r="D24" s="68">
        <f t="shared" ref="D24:E24" si="1">SUM(D22:D23)</f>
        <v>0</v>
      </c>
      <c r="E24" s="90">
        <f t="shared" si="1"/>
        <v>279940</v>
      </c>
      <c r="F24" s="1"/>
      <c r="G24" s="1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83"/>
      <c r="B25" s="48"/>
      <c r="C25" s="7"/>
      <c r="D25" s="8"/>
      <c r="E25" s="82"/>
      <c r="F25" s="1"/>
      <c r="G25" s="1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83" t="s">
        <v>58</v>
      </c>
      <c r="B26" s="48"/>
      <c r="C26" s="7"/>
      <c r="D26" s="8"/>
      <c r="E26" s="82"/>
      <c r="F26" s="1"/>
      <c r="G26" s="1"/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83"/>
      <c r="B27" s="48" t="s">
        <v>59</v>
      </c>
      <c r="C27" s="7"/>
      <c r="D27" s="8"/>
      <c r="E27" s="82"/>
      <c r="F27" s="1"/>
      <c r="G27" s="1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83"/>
      <c r="B28" s="48"/>
      <c r="C28" s="7" t="s">
        <v>60</v>
      </c>
      <c r="D28" s="65">
        <f>daily!B23</f>
        <v>0</v>
      </c>
      <c r="E28" s="84">
        <v>123000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83"/>
      <c r="B29" s="48"/>
      <c r="C29" s="7" t="s">
        <v>61</v>
      </c>
      <c r="D29" s="65">
        <v>0</v>
      </c>
      <c r="E29" s="84">
        <v>0</v>
      </c>
      <c r="F29" s="1"/>
      <c r="G29" s="1"/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83"/>
      <c r="B30" s="48"/>
      <c r="C30" s="7" t="s">
        <v>62</v>
      </c>
      <c r="D30" s="65">
        <f>daily!C23</f>
        <v>0</v>
      </c>
      <c r="E30" s="84">
        <v>4005</v>
      </c>
      <c r="F30" s="1"/>
      <c r="G30" s="1"/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83"/>
      <c r="B31" s="48"/>
      <c r="C31" s="7" t="s">
        <v>63</v>
      </c>
      <c r="D31" s="65">
        <v>0</v>
      </c>
      <c r="E31" s="84"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83"/>
      <c r="B32" s="48"/>
      <c r="C32" s="7" t="s">
        <v>9</v>
      </c>
      <c r="D32" s="65">
        <f>daily!D23</f>
        <v>0</v>
      </c>
      <c r="E32" s="84">
        <v>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83"/>
      <c r="B33" s="48"/>
      <c r="C33" s="7" t="s">
        <v>10</v>
      </c>
      <c r="D33" s="65">
        <f>daily!E23</f>
        <v>0</v>
      </c>
      <c r="E33" s="84">
        <v>18176</v>
      </c>
      <c r="F33" s="1"/>
      <c r="G33" s="1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83"/>
      <c r="B34" s="48"/>
      <c r="C34" s="7" t="s">
        <v>64</v>
      </c>
      <c r="D34" s="65">
        <v>0</v>
      </c>
      <c r="E34" s="84">
        <v>0</v>
      </c>
      <c r="F34" s="1"/>
      <c r="G34" s="1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83"/>
      <c r="B35" s="48"/>
      <c r="C35" s="7" t="s">
        <v>65</v>
      </c>
      <c r="D35" s="65">
        <f>daily!I23</f>
        <v>0</v>
      </c>
      <c r="E35" s="84">
        <v>0</v>
      </c>
      <c r="F35" s="1"/>
      <c r="G35" s="1"/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83"/>
      <c r="B36" s="48"/>
      <c r="C36" s="7" t="s">
        <v>66</v>
      </c>
      <c r="D36" s="65">
        <v>0</v>
      </c>
      <c r="E36" s="84">
        <v>0</v>
      </c>
      <c r="F36" s="1"/>
      <c r="G36" s="1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83"/>
      <c r="B37" s="48"/>
      <c r="C37" s="7" t="s">
        <v>67</v>
      </c>
      <c r="D37" s="65">
        <v>0</v>
      </c>
      <c r="E37" s="84">
        <v>0</v>
      </c>
      <c r="F37" s="1"/>
      <c r="G37" s="1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83"/>
      <c r="B38" s="48"/>
      <c r="C38" s="7" t="s">
        <v>68</v>
      </c>
      <c r="D38" s="65">
        <v>0</v>
      </c>
      <c r="E38" s="84">
        <v>0</v>
      </c>
      <c r="F38" s="1"/>
      <c r="G38" s="1"/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83"/>
      <c r="B39" s="48"/>
      <c r="C39" s="7" t="s">
        <v>69</v>
      </c>
      <c r="D39" s="65">
        <f>daily!H23</f>
        <v>0</v>
      </c>
      <c r="E39" s="84">
        <v>0</v>
      </c>
      <c r="F39" s="1"/>
      <c r="G39" s="1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83"/>
      <c r="B40" s="48"/>
      <c r="C40" s="7" t="s">
        <v>70</v>
      </c>
      <c r="D40" s="65">
        <v>0</v>
      </c>
      <c r="E40" s="84"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83"/>
      <c r="B41" s="48"/>
      <c r="C41" s="7" t="s">
        <v>71</v>
      </c>
      <c r="D41" s="65">
        <v>0</v>
      </c>
      <c r="E41" s="84"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83"/>
      <c r="B42" s="48"/>
      <c r="C42" s="7" t="s">
        <v>72</v>
      </c>
      <c r="D42" s="65">
        <v>0</v>
      </c>
      <c r="E42" s="84">
        <v>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83"/>
      <c r="B43" s="48"/>
      <c r="C43" s="7" t="s">
        <v>73</v>
      </c>
      <c r="D43" s="65">
        <v>0</v>
      </c>
      <c r="E43" s="84">
        <v>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91"/>
      <c r="B44" s="48"/>
      <c r="C44" s="7" t="s">
        <v>74</v>
      </c>
      <c r="D44" s="65">
        <v>0</v>
      </c>
      <c r="E44" s="84">
        <v>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91"/>
      <c r="B45" s="48"/>
      <c r="C45" s="54" t="s">
        <v>75</v>
      </c>
      <c r="D45" s="65">
        <f>daily!K23</f>
        <v>0</v>
      </c>
      <c r="E45" s="84"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91"/>
      <c r="B46" s="48"/>
      <c r="C46" s="7" t="s">
        <v>76</v>
      </c>
      <c r="D46" s="65">
        <v>0</v>
      </c>
      <c r="E46" s="84"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91"/>
      <c r="B47" s="48"/>
      <c r="C47" s="7" t="s">
        <v>77</v>
      </c>
      <c r="D47" s="65">
        <v>0</v>
      </c>
      <c r="E47" s="84">
        <v>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91"/>
      <c r="B48" s="48"/>
      <c r="C48" s="7" t="s">
        <v>78</v>
      </c>
      <c r="D48" s="65">
        <f>daily!G23</f>
        <v>0</v>
      </c>
      <c r="E48" s="84">
        <v>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91"/>
      <c r="B49" s="48"/>
      <c r="C49" s="7" t="s">
        <v>79</v>
      </c>
      <c r="D49" s="65">
        <f>daily!F19</f>
        <v>0</v>
      </c>
      <c r="E49" s="84">
        <v>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91"/>
      <c r="B50" s="48"/>
      <c r="C50" s="7" t="s">
        <v>80</v>
      </c>
      <c r="D50" s="66">
        <v>0</v>
      </c>
      <c r="E50" s="84">
        <v>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thickBot="1">
      <c r="A51" s="92"/>
      <c r="B51" s="93" t="s">
        <v>81</v>
      </c>
      <c r="C51" s="94"/>
      <c r="D51" s="95">
        <f t="shared" ref="D51:E51" si="2">SUM(D28:D50)</f>
        <v>0</v>
      </c>
      <c r="E51" s="96">
        <f t="shared" si="2"/>
        <v>145181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s="46" customFormat="1" ht="15.75" customHeight="1">
      <c r="A52" s="47"/>
      <c r="B52" s="48"/>
      <c r="C52" s="47"/>
      <c r="D52" s="49"/>
      <c r="E52" s="4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39" t="s">
        <v>32</v>
      </c>
      <c r="C53" s="39"/>
      <c r="D53" s="39"/>
      <c r="E53" s="39"/>
      <c r="F53" s="3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39"/>
      <c r="C54" s="40"/>
      <c r="D54" s="40"/>
      <c r="E54" s="39"/>
      <c r="F54" s="3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41" t="s">
        <v>33</v>
      </c>
      <c r="C55" s="39"/>
      <c r="D55" s="41"/>
      <c r="E55" s="41"/>
      <c r="F55" s="3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39" t="s">
        <v>34</v>
      </c>
      <c r="C56" s="39"/>
      <c r="D56" s="41"/>
      <c r="E56" s="39"/>
      <c r="F56" s="3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39"/>
      <c r="C57" s="39"/>
      <c r="D57" s="39"/>
      <c r="E57" s="39"/>
      <c r="F57" s="3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39" t="s">
        <v>35</v>
      </c>
      <c r="C58" s="39"/>
      <c r="D58" s="39"/>
      <c r="E58" s="39"/>
      <c r="F58" s="3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39"/>
      <c r="C59" s="39"/>
      <c r="D59" s="41"/>
      <c r="E59" s="42"/>
      <c r="F59" s="3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41"/>
      <c r="C60" s="45" t="s">
        <v>36</v>
      </c>
      <c r="D60" s="45" t="s">
        <v>37</v>
      </c>
      <c r="E60" s="44"/>
      <c r="F60" s="3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39"/>
      <c r="C61" s="43" t="s">
        <v>38</v>
      </c>
      <c r="D61" s="39" t="s">
        <v>39</v>
      </c>
      <c r="E61" s="44"/>
      <c r="F61" s="3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43" t="s">
        <v>40</v>
      </c>
      <c r="D62" s="39" t="s">
        <v>41</v>
      </c>
      <c r="E62" s="4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7">
    <mergeCell ref="A7:C7"/>
    <mergeCell ref="A8:C8"/>
    <mergeCell ref="A1:E1"/>
    <mergeCell ref="A2:E2"/>
    <mergeCell ref="A4:E4"/>
    <mergeCell ref="A5:E5"/>
    <mergeCell ref="A6:E6"/>
  </mergeCells>
  <pageMargins left="0.7" right="0.7" top="0.75" bottom="0.75" header="0" footer="0"/>
  <pageSetup paperSize="9" scale="77" orientation="portrait" r:id="rId1"/>
  <rowBreaks count="1" manualBreakCount="1">
    <brk id="62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40" zoomScaleNormal="100" workbookViewId="0">
      <selection activeCell="D45" sqref="D45"/>
    </sheetView>
  </sheetViews>
  <sheetFormatPr defaultColWidth="14.44140625" defaultRowHeight="15" customHeight="1"/>
  <cols>
    <col min="1" max="2" width="6.33203125" customWidth="1"/>
    <col min="3" max="3" width="47.5546875" customWidth="1"/>
    <col min="4" max="5" width="15.109375" customWidth="1"/>
    <col min="6" max="26" width="8.6640625" customWidth="1"/>
  </cols>
  <sheetData>
    <row r="1" spans="1:26" ht="20.399999999999999">
      <c r="A1" s="132" t="s">
        <v>0</v>
      </c>
      <c r="B1" s="133"/>
      <c r="C1" s="133"/>
      <c r="D1" s="133"/>
      <c r="E1" s="13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21" t="s">
        <v>1</v>
      </c>
      <c r="B2" s="133"/>
      <c r="C2" s="133"/>
      <c r="D2" s="133"/>
      <c r="E2" s="13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399999999999999">
      <c r="A4" s="123" t="s">
        <v>2</v>
      </c>
      <c r="B4" s="133"/>
      <c r="C4" s="133"/>
      <c r="D4" s="133"/>
      <c r="E4" s="13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24" t="s">
        <v>3</v>
      </c>
      <c r="B5" s="133"/>
      <c r="C5" s="133"/>
      <c r="D5" s="133"/>
      <c r="E5" s="13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thickBot="1">
      <c r="A6" s="135" t="s">
        <v>4</v>
      </c>
      <c r="B6" s="136"/>
      <c r="C6" s="136"/>
      <c r="D6" s="136"/>
      <c r="E6" s="13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>
      <c r="A7" s="126"/>
      <c r="B7" s="127"/>
      <c r="C7" s="128"/>
      <c r="D7" s="81" t="s">
        <v>42</v>
      </c>
      <c r="E7" s="97" t="s">
        <v>43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29"/>
      <c r="B8" s="130"/>
      <c r="C8" s="131"/>
      <c r="D8" s="101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83"/>
      <c r="B9" s="48"/>
      <c r="C9" s="7"/>
      <c r="D9" s="102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83"/>
      <c r="B10" s="48" t="s">
        <v>82</v>
      </c>
      <c r="C10" s="7"/>
      <c r="D10" s="102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83"/>
      <c r="B11" s="48"/>
      <c r="C11" s="7" t="s">
        <v>60</v>
      </c>
      <c r="D11" s="102">
        <v>0</v>
      </c>
      <c r="E11" s="4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83"/>
      <c r="B12" s="48"/>
      <c r="C12" s="7" t="s">
        <v>61</v>
      </c>
      <c r="D12" s="102">
        <v>0</v>
      </c>
      <c r="E12" s="4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83"/>
      <c r="B13" s="48"/>
      <c r="C13" s="7" t="s">
        <v>62</v>
      </c>
      <c r="D13" s="102">
        <v>0</v>
      </c>
      <c r="E13" s="4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83"/>
      <c r="B14" s="48"/>
      <c r="C14" s="7" t="s">
        <v>63</v>
      </c>
      <c r="D14" s="102">
        <v>0</v>
      </c>
      <c r="E14" s="4"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83"/>
      <c r="B15" s="48"/>
      <c r="C15" s="7" t="s">
        <v>9</v>
      </c>
      <c r="D15" s="102">
        <v>0</v>
      </c>
      <c r="E15" s="4"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83"/>
      <c r="B16" s="48"/>
      <c r="C16" s="7" t="s">
        <v>64</v>
      </c>
      <c r="D16" s="102">
        <v>0</v>
      </c>
      <c r="E16" s="4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83"/>
      <c r="B17" s="48"/>
      <c r="C17" s="7" t="s">
        <v>65</v>
      </c>
      <c r="D17" s="102">
        <v>0</v>
      </c>
      <c r="E17" s="4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83"/>
      <c r="B18" s="48"/>
      <c r="C18" s="7" t="s">
        <v>66</v>
      </c>
      <c r="D18" s="102">
        <v>0</v>
      </c>
      <c r="E18" s="4"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83"/>
      <c r="B19" s="48"/>
      <c r="C19" s="7" t="s">
        <v>80</v>
      </c>
      <c r="D19" s="102">
        <v>0</v>
      </c>
      <c r="E19" s="4"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83"/>
      <c r="B20" s="48"/>
      <c r="C20" s="7" t="s">
        <v>67</v>
      </c>
      <c r="D20" s="102">
        <v>0</v>
      </c>
      <c r="E20" s="4"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83"/>
      <c r="B21" s="48"/>
      <c r="C21" s="7" t="s">
        <v>69</v>
      </c>
      <c r="D21" s="102">
        <v>0</v>
      </c>
      <c r="E21" s="4"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83"/>
      <c r="B22" s="48"/>
      <c r="C22" s="7" t="s">
        <v>70</v>
      </c>
      <c r="D22" s="102">
        <v>0</v>
      </c>
      <c r="E22" s="4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83"/>
      <c r="B23" s="48"/>
      <c r="C23" s="7" t="s">
        <v>71</v>
      </c>
      <c r="D23" s="102">
        <v>0</v>
      </c>
      <c r="E23" s="4"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83"/>
      <c r="B24" s="48"/>
      <c r="C24" s="7" t="s">
        <v>83</v>
      </c>
      <c r="D24" s="102">
        <v>0</v>
      </c>
      <c r="E24" s="4"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83"/>
      <c r="B25" s="48"/>
      <c r="C25" s="7" t="s">
        <v>72</v>
      </c>
      <c r="D25" s="102">
        <v>0</v>
      </c>
      <c r="E25" s="4">
        <v>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83"/>
      <c r="B26" s="48"/>
      <c r="C26" s="7" t="s">
        <v>84</v>
      </c>
      <c r="D26" s="102">
        <v>0</v>
      </c>
      <c r="E26" s="4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83"/>
      <c r="B27" s="48"/>
      <c r="C27" s="7" t="s">
        <v>85</v>
      </c>
      <c r="D27" s="102">
        <v>0</v>
      </c>
      <c r="E27" s="4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83"/>
      <c r="B28" s="48"/>
      <c r="C28" s="7" t="s">
        <v>79</v>
      </c>
      <c r="D28" s="102">
        <v>0</v>
      </c>
      <c r="E28" s="4"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83"/>
      <c r="B29" s="48"/>
      <c r="C29" s="7" t="s">
        <v>86</v>
      </c>
      <c r="D29" s="102">
        <v>0</v>
      </c>
      <c r="E29" s="4">
        <v>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thickBot="1">
      <c r="A30" s="83"/>
      <c r="B30" s="48"/>
      <c r="C30" s="7" t="s">
        <v>76</v>
      </c>
      <c r="D30" s="102">
        <v>0</v>
      </c>
      <c r="E30" s="4"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thickBot="1">
      <c r="A31" s="103"/>
      <c r="B31" s="48" t="s">
        <v>87</v>
      </c>
      <c r="C31" s="18"/>
      <c r="D31" s="104">
        <f t="shared" ref="D31:E31" si="0">SUM(D11:D30)</f>
        <v>0</v>
      </c>
      <c r="E31" s="98">
        <f t="shared" si="0"/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thickBot="1">
      <c r="A32" s="105"/>
      <c r="B32" s="20" t="s">
        <v>88</v>
      </c>
      <c r="C32" s="21"/>
      <c r="D32" s="106">
        <f>-'so1'!D51-'so2'!D31</f>
        <v>0</v>
      </c>
      <c r="E32" s="99">
        <f>-'so1'!E51-'so2'!E31</f>
        <v>-145181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thickBot="1">
      <c r="A33" s="107" t="s">
        <v>89</v>
      </c>
      <c r="B33" s="108"/>
      <c r="C33" s="109"/>
      <c r="D33" s="110">
        <f>SUM('so1'!D24+'so2'!D32)</f>
        <v>0</v>
      </c>
      <c r="E33" s="100">
        <f>SUM('so1'!E24+'so2'!E32)</f>
        <v>134759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39" t="s">
        <v>32</v>
      </c>
      <c r="C35" s="39"/>
      <c r="D35" s="39"/>
      <c r="E35" s="4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39"/>
      <c r="C36" s="40"/>
      <c r="D36" s="40"/>
      <c r="E36" s="4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1" t="s">
        <v>33</v>
      </c>
      <c r="C37" s="39"/>
      <c r="D37" s="41"/>
      <c r="E37" s="4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39" t="s">
        <v>34</v>
      </c>
      <c r="C38" s="39"/>
      <c r="D38" s="41"/>
      <c r="E38" s="4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39"/>
      <c r="C39" s="39"/>
      <c r="D39" s="39"/>
      <c r="E39" s="4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39" t="s">
        <v>35</v>
      </c>
      <c r="C40" s="39"/>
      <c r="D40" s="39"/>
      <c r="E40" s="4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39"/>
      <c r="C41" s="39"/>
      <c r="D41" s="41"/>
      <c r="E41" s="4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41"/>
      <c r="C42" s="45" t="s">
        <v>36</v>
      </c>
      <c r="D42" s="45" t="s">
        <v>37</v>
      </c>
      <c r="E42" s="4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39"/>
      <c r="C43" s="43" t="s">
        <v>38</v>
      </c>
      <c r="D43" s="39" t="s">
        <v>39</v>
      </c>
      <c r="E43" s="4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43" t="s">
        <v>40</v>
      </c>
      <c r="D44" s="39" t="s">
        <v>41</v>
      </c>
      <c r="E44" s="4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44"/>
      <c r="C45" s="44"/>
      <c r="D45" s="44"/>
      <c r="E45" s="4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44"/>
      <c r="C46" s="44"/>
      <c r="D46" s="44"/>
      <c r="E46" s="4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44"/>
      <c r="C47" s="44"/>
      <c r="D47" s="44"/>
      <c r="E47" s="4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44"/>
      <c r="C48" s="44"/>
      <c r="D48" s="44"/>
      <c r="E48" s="4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44"/>
      <c r="C49" s="44"/>
      <c r="D49" s="44"/>
      <c r="E49" s="4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44"/>
      <c r="C50" s="44"/>
      <c r="D50" s="44"/>
      <c r="E50" s="4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44"/>
      <c r="C51" s="44"/>
      <c r="D51" s="44"/>
      <c r="E51" s="4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A7:C7"/>
    <mergeCell ref="A8:C8"/>
    <mergeCell ref="A1:E1"/>
    <mergeCell ref="A2:E2"/>
    <mergeCell ref="A4:E4"/>
    <mergeCell ref="A5:E5"/>
    <mergeCell ref="A6:E6"/>
  </mergeCells>
  <pageMargins left="0.7" right="0.7" top="0.75" bottom="0.75" header="0" footer="0"/>
  <pageSetup paperSize="9" scale="95" orientation="portrait" r:id="rId1"/>
  <rowBreaks count="1" manualBreakCount="1">
    <brk id="51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topLeftCell="A22" zoomScaleNormal="100" workbookViewId="0">
      <selection activeCell="B31" sqref="B31:B38"/>
    </sheetView>
  </sheetViews>
  <sheetFormatPr defaultColWidth="14.44140625" defaultRowHeight="15" customHeight="1"/>
  <cols>
    <col min="1" max="1" width="3.88671875" customWidth="1"/>
    <col min="2" max="2" width="42.44140625" customWidth="1"/>
    <col min="3" max="3" width="7.109375" customWidth="1"/>
    <col min="4" max="5" width="15.109375" customWidth="1"/>
    <col min="6" max="26" width="8.6640625" customWidth="1"/>
  </cols>
  <sheetData>
    <row r="1" spans="1:26" ht="20.399999999999999">
      <c r="A1" s="132" t="s">
        <v>0</v>
      </c>
      <c r="B1" s="133"/>
      <c r="C1" s="133"/>
      <c r="D1" s="133"/>
      <c r="E1" s="13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21" t="s">
        <v>1</v>
      </c>
      <c r="B2" s="133"/>
      <c r="C2" s="133"/>
      <c r="D2" s="133"/>
      <c r="E2" s="13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399999999999999">
      <c r="A4" s="123" t="s">
        <v>2</v>
      </c>
      <c r="B4" s="133"/>
      <c r="C4" s="133"/>
      <c r="D4" s="133"/>
      <c r="E4" s="13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24" t="s">
        <v>3</v>
      </c>
      <c r="B5" s="133"/>
      <c r="C5" s="133"/>
      <c r="D5" s="133"/>
      <c r="E5" s="13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42" t="s">
        <v>4</v>
      </c>
      <c r="B6" s="137"/>
      <c r="C6" s="137"/>
      <c r="D6" s="137"/>
      <c r="E6" s="13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38"/>
      <c r="B7" s="139"/>
      <c r="C7" s="140"/>
      <c r="D7" s="2" t="s">
        <v>42</v>
      </c>
      <c r="E7" s="2" t="s">
        <v>43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41"/>
      <c r="B8" s="130"/>
      <c r="C8" s="131"/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22"/>
      <c r="B9" s="23" t="s">
        <v>90</v>
      </c>
      <c r="C9" s="24"/>
      <c r="D9" s="8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22"/>
      <c r="B10" s="112"/>
      <c r="C10" s="24"/>
      <c r="D10" s="8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5"/>
      <c r="B11" s="1" t="s">
        <v>91</v>
      </c>
      <c r="C11" s="7"/>
      <c r="D11" s="8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5"/>
      <c r="B12" s="1" t="s">
        <v>92</v>
      </c>
      <c r="C12" s="25">
        <v>0.35</v>
      </c>
      <c r="D12" s="8">
        <f>'so2'!D33*net_income!C12</f>
        <v>0</v>
      </c>
      <c r="E12" s="8">
        <f>'so2'!E33*net_income!C12</f>
        <v>47165.649999999994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5"/>
      <c r="B13" s="1" t="s">
        <v>93</v>
      </c>
      <c r="C13" s="25">
        <v>0.05</v>
      </c>
      <c r="D13" s="8">
        <f>'so2'!D33*net_income!C13</f>
        <v>0</v>
      </c>
      <c r="E13" s="8">
        <f>'so2'!E33*net_income!C13</f>
        <v>6737.9500000000007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5"/>
      <c r="B14" s="1" t="s">
        <v>94</v>
      </c>
      <c r="C14" s="25">
        <v>0.15</v>
      </c>
      <c r="D14" s="8">
        <f>'so2'!D33*net_income!C14</f>
        <v>0</v>
      </c>
      <c r="E14" s="8">
        <f>'so2'!E33*net_income!C14</f>
        <v>20213.849999999999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5"/>
      <c r="B15" s="1" t="s">
        <v>95</v>
      </c>
      <c r="C15" s="25">
        <v>0.1</v>
      </c>
      <c r="D15" s="8">
        <f>'so2'!D33*net_income!C15</f>
        <v>0</v>
      </c>
      <c r="E15" s="8">
        <f>'so2'!E33*net_income!C15</f>
        <v>13475.900000000001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5"/>
      <c r="B16" s="1" t="s">
        <v>96</v>
      </c>
      <c r="C16" s="25">
        <v>0.25</v>
      </c>
      <c r="D16" s="8">
        <f>'so2'!D33*net_income!C16</f>
        <v>0</v>
      </c>
      <c r="E16" s="8">
        <f>'so2'!E33*net_income!C16</f>
        <v>33689.75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5"/>
      <c r="B17" s="1" t="s">
        <v>97</v>
      </c>
      <c r="C17" s="25">
        <v>0.1</v>
      </c>
      <c r="D17" s="8">
        <f>'so2'!D33*net_income!C17</f>
        <v>0</v>
      </c>
      <c r="E17" s="8">
        <f>'so2'!E33*net_income!C17</f>
        <v>13475.900000000001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26"/>
      <c r="B18" s="15"/>
      <c r="C18" s="16"/>
      <c r="D18" s="10"/>
      <c r="E18" s="1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7"/>
      <c r="B19" s="27" t="s">
        <v>98</v>
      </c>
      <c r="C19" s="28">
        <v>1</v>
      </c>
      <c r="D19" s="29">
        <f>SUM(D12:D17)</f>
        <v>0</v>
      </c>
      <c r="E19" s="30">
        <f>SUM(E12:E18)</f>
        <v>134758.99999999997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44" t="s">
        <v>32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4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45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44" t="s">
        <v>34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4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4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44" t="s">
        <v>35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4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4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44" t="s">
        <v>36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44" t="s">
        <v>38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44" t="s">
        <v>40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4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4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44" t="s">
        <v>37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4" t="s">
        <v>39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44" t="s">
        <v>41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4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7">
    <mergeCell ref="A7:C7"/>
    <mergeCell ref="A8:C8"/>
    <mergeCell ref="A1:E1"/>
    <mergeCell ref="A2:E2"/>
    <mergeCell ref="A4:E4"/>
    <mergeCell ref="A5:E5"/>
    <mergeCell ref="A6:E6"/>
  </mergeCell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8"/>
  <sheetViews>
    <sheetView zoomScaleNormal="100" zoomScaleSheetLayoutView="90" workbookViewId="0">
      <selection activeCell="C50" sqref="C50"/>
    </sheetView>
  </sheetViews>
  <sheetFormatPr defaultColWidth="14.44140625" defaultRowHeight="15" customHeight="1"/>
  <cols>
    <col min="1" max="2" width="6.33203125" customWidth="1"/>
    <col min="3" max="3" width="47.5546875" customWidth="1"/>
    <col min="4" max="5" width="15.109375" customWidth="1"/>
    <col min="6" max="26" width="8.6640625" customWidth="1"/>
  </cols>
  <sheetData>
    <row r="1" spans="1:26" ht="20.399999999999999">
      <c r="A1" s="132" t="s">
        <v>0</v>
      </c>
      <c r="B1" s="133"/>
      <c r="C1" s="133"/>
      <c r="D1" s="133"/>
      <c r="E1" s="13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21" t="s">
        <v>1</v>
      </c>
      <c r="B2" s="133"/>
      <c r="C2" s="133"/>
      <c r="D2" s="133"/>
      <c r="E2" s="13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399999999999999">
      <c r="A4" s="123" t="s">
        <v>99</v>
      </c>
      <c r="B4" s="133"/>
      <c r="C4" s="133"/>
      <c r="D4" s="133"/>
      <c r="E4" s="13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24" t="s">
        <v>3</v>
      </c>
      <c r="B5" s="133"/>
      <c r="C5" s="133"/>
      <c r="D5" s="133"/>
      <c r="E5" s="13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43" t="s">
        <v>4</v>
      </c>
      <c r="B6" s="144"/>
      <c r="C6" s="144"/>
      <c r="D6" s="144"/>
      <c r="E6" s="14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38"/>
      <c r="B7" s="139"/>
      <c r="C7" s="140"/>
      <c r="D7" s="2" t="s">
        <v>42</v>
      </c>
      <c r="E7" s="2" t="s">
        <v>43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41"/>
      <c r="B8" s="130"/>
      <c r="C8" s="131"/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5" t="s">
        <v>100</v>
      </c>
      <c r="B9" s="6"/>
      <c r="C9" s="7"/>
      <c r="D9" s="8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5"/>
      <c r="B10" s="1" t="s">
        <v>101</v>
      </c>
      <c r="C10" s="7"/>
      <c r="D10" s="8">
        <f>net_income!D19</f>
        <v>0</v>
      </c>
      <c r="E10" s="4"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5"/>
      <c r="B11" s="1" t="s">
        <v>102</v>
      </c>
      <c r="C11" s="7"/>
      <c r="D11" s="8">
        <v>0</v>
      </c>
      <c r="E11" s="4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5"/>
      <c r="B12" s="1" t="s">
        <v>54</v>
      </c>
      <c r="C12" s="7"/>
      <c r="D12" s="8">
        <v>0</v>
      </c>
      <c r="E12" s="4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5"/>
      <c r="B13" s="1" t="s">
        <v>103</v>
      </c>
      <c r="C13" s="7"/>
      <c r="D13" s="31">
        <v>0</v>
      </c>
      <c r="E13" s="4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5"/>
      <c r="B14" s="1" t="s">
        <v>104</v>
      </c>
      <c r="C14" s="7"/>
      <c r="D14" s="8">
        <v>0</v>
      </c>
      <c r="E14" s="4"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5"/>
      <c r="B15" s="1" t="s">
        <v>105</v>
      </c>
      <c r="C15" s="7"/>
      <c r="D15" s="32">
        <v>0</v>
      </c>
      <c r="E15" s="32"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33" t="s">
        <v>106</v>
      </c>
      <c r="B16" s="34"/>
      <c r="C16" s="35"/>
      <c r="D16" s="19">
        <f t="shared" ref="D16:E16" si="0">SUM(D10:D15)</f>
        <v>0</v>
      </c>
      <c r="E16" s="19">
        <f t="shared" si="0"/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5"/>
      <c r="B17" s="6"/>
      <c r="C17" s="7"/>
      <c r="D17" s="8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5" t="s">
        <v>107</v>
      </c>
      <c r="B18" s="6"/>
      <c r="C18" s="7"/>
      <c r="D18" s="8"/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5"/>
      <c r="B19" s="1" t="s">
        <v>108</v>
      </c>
      <c r="C19" s="7"/>
      <c r="D19" s="8">
        <v>0</v>
      </c>
      <c r="E19" s="4"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5"/>
      <c r="B20" s="1" t="s">
        <v>109</v>
      </c>
      <c r="C20" s="7"/>
      <c r="D20" s="8">
        <v>0</v>
      </c>
      <c r="E20" s="4"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5"/>
      <c r="B21" s="1" t="s">
        <v>110</v>
      </c>
      <c r="C21" s="7"/>
      <c r="D21" s="8">
        <v>0</v>
      </c>
      <c r="E21" s="4"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/>
      <c r="B22" s="1" t="s">
        <v>111</v>
      </c>
      <c r="C22" s="7"/>
      <c r="D22" s="8">
        <v>0</v>
      </c>
      <c r="E22" s="4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5"/>
      <c r="B23" s="6" t="s">
        <v>112</v>
      </c>
      <c r="C23" s="7"/>
      <c r="D23" s="36">
        <f t="shared" ref="D23:E23" si="1">SUM(D19:D22)</f>
        <v>0</v>
      </c>
      <c r="E23" s="37">
        <f t="shared" si="1"/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5"/>
      <c r="B24" s="1"/>
      <c r="C24" s="7"/>
      <c r="D24" s="8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5" t="s">
        <v>113</v>
      </c>
      <c r="B25" s="1"/>
      <c r="C25" s="7"/>
      <c r="D25" s="8"/>
      <c r="E25" s="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5"/>
      <c r="B26" s="1" t="s">
        <v>114</v>
      </c>
      <c r="C26" s="7"/>
      <c r="D26" s="31">
        <v>0</v>
      </c>
      <c r="E26" s="4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5"/>
      <c r="B27" s="1" t="s">
        <v>115</v>
      </c>
      <c r="C27" s="7"/>
      <c r="D27" s="8">
        <f>'so2'!D33</f>
        <v>0</v>
      </c>
      <c r="E27" s="8">
        <f>'so2'!E33</f>
        <v>134759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5"/>
      <c r="B28" s="6" t="s">
        <v>116</v>
      </c>
      <c r="C28" s="18"/>
      <c r="D28" s="3">
        <f t="shared" ref="D28:E28" si="2">SUM(D26:D27)</f>
        <v>0</v>
      </c>
      <c r="E28" s="38">
        <f t="shared" si="2"/>
        <v>134759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3" t="s">
        <v>117</v>
      </c>
      <c r="B29" s="34"/>
      <c r="C29" s="35"/>
      <c r="D29" s="19">
        <f t="shared" ref="D29:E29" si="3">SUM(D23+D28)</f>
        <v>0</v>
      </c>
      <c r="E29" s="19">
        <f t="shared" si="3"/>
        <v>134759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44" t="s">
        <v>32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4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45" t="s">
        <v>33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44" t="s">
        <v>34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4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4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4" t="s">
        <v>35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4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4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44" t="s">
        <v>36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44" t="s">
        <v>38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44" t="s">
        <v>40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4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4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44" t="s">
        <v>37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44" t="s">
        <v>39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44" t="s">
        <v>41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4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4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4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4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4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7">
    <mergeCell ref="A7:C7"/>
    <mergeCell ref="A8:C8"/>
    <mergeCell ref="A1:E1"/>
    <mergeCell ref="A2:E2"/>
    <mergeCell ref="A4:E4"/>
    <mergeCell ref="A5:E5"/>
    <mergeCell ref="A6:E6"/>
  </mergeCells>
  <pageMargins left="0.7" right="0.7" top="0.75" bottom="0.75" header="0" footer="0"/>
  <pageSetup paperSize="9" scale="92" orientation="portrait" r:id="rId1"/>
  <rowBreaks count="1" manualBreakCount="1">
    <brk id="51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daily</vt:lpstr>
      <vt:lpstr>so1</vt:lpstr>
      <vt:lpstr>so2</vt:lpstr>
      <vt:lpstr>net_income</vt:lpstr>
      <vt:lpstr>financial</vt:lpstr>
      <vt:lpstr>daily!Print_Area</vt:lpstr>
      <vt:lpstr>financial!Print_Area</vt:lpstr>
      <vt:lpstr>net_income!Print_Area</vt:lpstr>
      <vt:lpstr>'so1'!Print_Area</vt:lpstr>
      <vt:lpstr>'so2'!Print_Area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jocelynlolitavillanueva955@gmail.com</dc:creator>
  <cp:keywords/>
  <dc:description/>
  <cp:lastModifiedBy>Admin</cp:lastModifiedBy>
  <cp:revision/>
  <dcterms:created xsi:type="dcterms:W3CDTF">2025-01-31T07:43:31Z</dcterms:created>
  <dcterms:modified xsi:type="dcterms:W3CDTF">2026-04-27T07:36:34Z</dcterms:modified>
  <cp:category/>
  <cp:contentStatus/>
</cp:coreProperties>
</file>